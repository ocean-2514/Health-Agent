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附录A 表A.1 变压器本体状态量评价标准" sheetId="2" r:id="rId1"/>
    <sheet name="A.2 变压器套管状态量评价标准" sheetId="3" r:id="rId2"/>
    <sheet name="A.3 冷却（散热）器系统状态量评价标准" sheetId="4" r:id="rId3"/>
    <sheet name="A.4 有载分接开关状态量评价标准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<sst xmlns="http://schemas.openxmlformats.org/spreadsheetml/2006/main" count="488" uniqueCount="207">
  <si>
    <t>序号</t>
  </si>
  <si>
    <t>状态量分类</t>
  </si>
  <si>
    <t>状态量名称</t>
  </si>
  <si>
    <t>劣化程度</t>
  </si>
  <si>
    <t>基本扣分</t>
  </si>
  <si>
    <t>判断依据</t>
  </si>
  <si>
    <t>影响因子</t>
  </si>
  <si>
    <t>扣分值
(基本扣分×影响因子)</t>
  </si>
  <si>
    <t>备注</t>
  </si>
  <si>
    <t>运行</t>
  </si>
  <si>
    <t>短路电流、短路次数</t>
  </si>
  <si>
    <t>Ⅰ</t>
  </si>
  <si>
    <t>短路冲击电流在允许短路电流的50%~70%, 次数累计达到6次及以上</t>
  </si>
  <si>
    <t>按本表要求安排绕组损坏相关测试时,本项不扣分:测试结果按相关项目(色谱、频率响应、短路阻抗、绕组电容量等)标准扣分</t>
  </si>
  <si>
    <t>Ⅱ</t>
  </si>
  <si>
    <t>短路冲击电流在允许短路电流的70%~90%, 按次扣分</t>
  </si>
  <si>
    <t>Ⅳ</t>
  </si>
  <si>
    <t>短路冲击电流达到允许短路电流90%以上,按次扣分</t>
  </si>
  <si>
    <t>短路冲击累计</t>
  </si>
  <si>
    <t>短路冲击的持续时间每超过0.5s,应增加一次统计次数</t>
  </si>
  <si>
    <t>变压器过负荷</t>
  </si>
  <si>
    <t>达到短期急救负载运行规定或长期急救负载运行规定</t>
  </si>
  <si>
    <t>过励磁</t>
  </si>
  <si>
    <t>达到变压器过励磁限值</t>
  </si>
  <si>
    <t>具体限值根据变压器过励磁特性确定</t>
  </si>
  <si>
    <t>储油柜密封元件(胶囊、隔膜、金属膨胀器)</t>
  </si>
  <si>
    <t>金属膨胀器有卡滞、隔膜式储油柜密封面有渗油迹</t>
  </si>
  <si>
    <t>金属膨胀器破裂、胶囊、隔膜破损</t>
  </si>
  <si>
    <t>本体储油柜油位</t>
  </si>
  <si>
    <t>油位异常:过高或过低</t>
  </si>
  <si>
    <t>渗油</t>
  </si>
  <si>
    <t>有轻微渗油,未形成油滴,部位位于非负压区</t>
  </si>
  <si>
    <t>漏油</t>
  </si>
  <si>
    <t>有轻微渗漏(但渗漏部位位于非负压区),不快于每滴5s(每分钟12滴)</t>
  </si>
  <si>
    <t>渗漏位于负压区或油滴速度快于每滴5s(每分钟12滴)或形成油流</t>
  </si>
  <si>
    <t>噪声及振动</t>
  </si>
  <si>
    <t>噪声、振动异常,绝缘油中溶解气体分析正常</t>
  </si>
  <si>
    <t>噪声、振动异常,绝缘油中溶解气体分析异常</t>
  </si>
  <si>
    <t>表面锈蚀</t>
  </si>
  <si>
    <t>表面漆层破损和轻微锈蚀</t>
  </si>
  <si>
    <t>Ⅲ</t>
  </si>
  <si>
    <t>表面锈蚀严重</t>
  </si>
  <si>
    <t>呼吸器</t>
  </si>
  <si>
    <t>吸湿器油封异常,或呼吸器呼吸不畅通,或硅胶潮解变色部分超过总量的2/3或硅胶自上而下变色</t>
  </si>
  <si>
    <t>呼吸器无呼吸</t>
  </si>
  <si>
    <t>运行油温</t>
  </si>
  <si>
    <t>顶层油温异常</t>
  </si>
  <si>
    <t>压力释放阀</t>
  </si>
  <si>
    <t>动作(周围有油迹)</t>
  </si>
  <si>
    <t>气体继电器</t>
  </si>
  <si>
    <t>(轻瓦斯)发信,但油中溶解气体分析无异常</t>
  </si>
  <si>
    <t>在排除二次原因后,应进行油中溶解气体分析,或检查渗漏(尤其负压区)</t>
  </si>
  <si>
    <t>轻瓦斯发信,且色谱异常或重瓦斯动作</t>
  </si>
  <si>
    <t>检修试验</t>
  </si>
  <si>
    <t>绕组直流电阻</t>
  </si>
  <si>
    <t>(1)各相绕组相互间的差别大于三相平均值的2%, 无中性点引出线的绕组, 线间偏差大于三相平均值的1%。(2)同相初值差超过±2%</t>
  </si>
  <si>
    <t>关注色谱变化、短路情况、分接开关以及套管连接,操作分接开关,测量不同分接电阻值,区分是否为分接连线问题</t>
  </si>
  <si>
    <t>绕组介质损耗因数</t>
  </si>
  <si>
    <t>介质损耗因数未超标准限值;但有显著性差异, 参照DL/T 393-2010</t>
  </si>
  <si>
    <t>异常时关注变压器本体及各部件渗漏、绝缘油试验情况</t>
  </si>
  <si>
    <t>介质损耗因数超标、电容量无明显变化</t>
  </si>
  <si>
    <t>电容量</t>
  </si>
  <si>
    <t>Ⅱ~Ⅳ</t>
  </si>
  <si>
    <t>4~10</t>
  </si>
  <si>
    <t>绕组电容量变化大于3%,但小于5%</t>
  </si>
  <si>
    <t>绕组电容变化大于5%</t>
  </si>
  <si>
    <t>铁芯接地电流</t>
  </si>
  <si>
    <t>铁芯多点接地,但运行中通过采取限流措施铁芯接地电流一般不大于0.1A</t>
  </si>
  <si>
    <t>关注油中溶解气体分析</t>
  </si>
  <si>
    <t>Ⅰ~Ⅳ</t>
  </si>
  <si>
    <t>2~10</t>
  </si>
  <si>
    <t>铁芯接地电流介于0.1A~0.3A</t>
  </si>
  <si>
    <t>铁芯接地电流超过0.3A</t>
  </si>
  <si>
    <t>绕组频率响应测试</t>
  </si>
  <si>
    <t>绕组频响测试反映绕组有变形</t>
  </si>
  <si>
    <t>绕组频谱、短路阻抗异常时,应结合油中溶解气体分析、绕组电容量以及变压器短路情况综合考虑</t>
  </si>
  <si>
    <t>短路阻抗</t>
  </si>
  <si>
    <t>短路阻抗与原始值的有差异,但偏差小于2%</t>
  </si>
  <si>
    <t>短路阻抗与原始值的差异介于2%~3%</t>
  </si>
  <si>
    <t>短路阻抗与原始值的差异大于3%</t>
  </si>
  <si>
    <t>泄漏电流</t>
  </si>
  <si>
    <t>历次相比变化介于30%~50%</t>
  </si>
  <si>
    <t>异常时应同时关注含气量、微水含量、变压器密封情况</t>
  </si>
  <si>
    <t>历次相比变化大于50%</t>
  </si>
  <si>
    <t>绕组绝缘电阻、吸收比或极化指数</t>
  </si>
  <si>
    <t>绝缘电阻不满足规程要求</t>
  </si>
  <si>
    <t>油介质损耗因数(tanδ)</t>
  </si>
  <si>
    <t>110kV~220kV变压器 tanδ≥4%；330kV及以上变压器 tanδ≥2%</t>
  </si>
  <si>
    <t>油击穿电压</t>
  </si>
  <si>
    <r>
      <rPr>
        <sz val="11"/>
        <color rgb="FF000000"/>
        <rFont val="Calibri"/>
        <charset val="134"/>
      </rPr>
      <t>110(66)kV~220kV</t>
    </r>
    <r>
      <rPr>
        <sz val="11"/>
        <color rgb="FF000000"/>
        <rFont val="宋体"/>
        <charset val="134"/>
      </rPr>
      <t>变压器</t>
    </r>
    <r>
      <rPr>
        <sz val="11"/>
        <color rgb="FF000000"/>
        <rFont val="Calibri"/>
        <charset val="134"/>
      </rPr>
      <t xml:space="preserve"> ≤35kV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Calibri"/>
        <charset val="134"/>
      </rPr>
      <t>330kV</t>
    </r>
    <r>
      <rPr>
        <sz val="11"/>
        <color rgb="FF000000"/>
        <rFont val="宋体"/>
        <charset val="134"/>
      </rPr>
      <t>及以上变压器</t>
    </r>
    <r>
      <rPr>
        <sz val="11"/>
        <color rgb="FF000000"/>
        <rFont val="Calibri"/>
        <charset val="134"/>
      </rPr>
      <t xml:space="preserve"> ≤50kV</t>
    </r>
  </si>
  <si>
    <t>水分</t>
  </si>
  <si>
    <t>110(66)kV变压器 ≥35mg/L；220kV变压器 ≥25mg/L；330kV及以上变压器 ≥15mg/L</t>
  </si>
  <si>
    <t>注意取样温度</t>
  </si>
  <si>
    <t>油中含气量</t>
  </si>
  <si>
    <t>500kV变压器油中含气量(体积分数)大于3%</t>
  </si>
  <si>
    <t>超过时,注意检查变压器密封情况</t>
  </si>
  <si>
    <t>绝缘纸聚合度</t>
  </si>
  <si>
    <t>绝缘纸聚合度不大于250</t>
  </si>
  <si>
    <t>糠醛含量</t>
  </si>
  <si>
    <t>糠醛含量异常</t>
  </si>
  <si>
    <t>参见DL/T 984, 如进行绝缘纸聚合度测试,本项不扣分</t>
  </si>
  <si>
    <t>红外测温</t>
  </si>
  <si>
    <t>油箱红外测温异常</t>
  </si>
  <si>
    <t>油中溶解气体分析-总烃</t>
  </si>
  <si>
    <t>总烃含量大于150μL/L, 但相对产气速率小于</t>
  </si>
  <si>
    <t>Max(总烃,C2H2,H2,CO)色谱按评价标准最高扣分仅扣分一次</t>
  </si>
  <si>
    <t>总烃含量大于150μL/L, 且相对产气速率大于</t>
  </si>
  <si>
    <t>油中溶解气体分析-C2H2</t>
  </si>
  <si>
    <t>乙炔含量大于注意值(330kV及以上1μL/L; 其他电压等级5μL/L), 无明显增长趋势</t>
  </si>
  <si>
    <t>乙炔含量大于注意值,有增长趋势或伴有CO明</t>
  </si>
  <si>
    <t>油中溶解气体分析-H2</t>
  </si>
  <si>
    <t>H2含量大于150μL/L</t>
  </si>
  <si>
    <t>油中溶解气体分析-CO、CO2</t>
  </si>
  <si>
    <t>CO含量有明显增长</t>
  </si>
  <si>
    <t>变压器中性点直流电流测试</t>
  </si>
  <si>
    <t>Ⅰ~Ⅲ</t>
  </si>
  <si>
    <t>2~8</t>
  </si>
  <si>
    <t>中性点直流电流介于1A~3A</t>
  </si>
  <si>
    <t>中性点直流电流大于3A</t>
  </si>
  <si>
    <t>局部放电</t>
  </si>
  <si>
    <t>发现异常放电信号或典型放电图谱</t>
  </si>
  <si>
    <t>采用超声波法、高频法等带电检测方法</t>
  </si>
  <si>
    <t>其他</t>
  </si>
  <si>
    <t>已发布的家族缺陷:或者同厂、同型、同期设备的故障信息</t>
  </si>
  <si>
    <t>一般缺陷未整改</t>
  </si>
  <si>
    <t>重大缺陷未整改</t>
  </si>
  <si>
    <t>抗短路能力校核结果</t>
  </si>
  <si>
    <t>校核结果不满足当前电网最大短路电流要求且</t>
  </si>
  <si>
    <t>低压母线绝缘化</t>
  </si>
  <si>
    <t>变压器35kV及以下低压母线未实施绝缘化</t>
  </si>
  <si>
    <t>储油柜密封件为胶囊和隔膜,且运行超过15年</t>
  </si>
  <si>
    <t>绕组材质及工艺</t>
  </si>
  <si>
    <t>绕组为薄绝缘、铝线圈,且运行超过20年</t>
  </si>
  <si>
    <t>外绝缘</t>
  </si>
  <si>
    <t>外绝缘爬距不满足要求,且未采取措施</t>
  </si>
  <si>
    <t>外观</t>
  </si>
  <si>
    <t>瓷件有面积微小的脱釉情况或套管有轻微渗漏</t>
  </si>
  <si>
    <t>套管出现严重渗漏</t>
  </si>
  <si>
    <t>油位指示</t>
  </si>
  <si>
    <t>油位异常</t>
  </si>
  <si>
    <t>绝缘电阻</t>
  </si>
  <si>
    <t>主屏小于10000MΩ或末屏小于1000MΩ</t>
  </si>
  <si>
    <t>介质损耗因素</t>
  </si>
  <si>
    <t>介质损耗值达到标准限值的70%,且变化大于30%</t>
  </si>
  <si>
    <t>介质损耗超过标准要求</t>
  </si>
  <si>
    <t>与出厂值或前次试验值相比,偏差大于4%</t>
  </si>
  <si>
    <t>与出厂值或前次试验值相比,偏差大于5%</t>
  </si>
  <si>
    <t>气体分析-C2H2</t>
  </si>
  <si>
    <t>C2H2含量大于注意值</t>
  </si>
  <si>
    <r>
      <rPr>
        <sz val="11"/>
        <color rgb="FF000000"/>
        <rFont val="Calibri"/>
        <charset val="134"/>
      </rPr>
      <t>Max(C2H2, CH4, H2)</t>
    </r>
    <r>
      <rPr>
        <sz val="11"/>
        <color rgb="FF000000"/>
        <rFont val="宋体"/>
        <charset val="134"/>
      </rPr>
      <t>色谱按评价标准最高扣分只扣一次</t>
    </r>
  </si>
  <si>
    <t>气体分析-CH4</t>
  </si>
  <si>
    <t>CH4含量大于100μL/L</t>
  </si>
  <si>
    <t>气体分析-H2</t>
  </si>
  <si>
    <t>H2含量大于500μL/L</t>
  </si>
  <si>
    <t>红外测温(套管柱头)</t>
  </si>
  <si>
    <t>柱头热点温度异常,但温差不大于10K</t>
  </si>
  <si>
    <t>缺陷判断参考DL/T 664典型图谱</t>
  </si>
  <si>
    <t>柱头热点温度大于55°C或者相对温差大于80%</t>
  </si>
  <si>
    <t>柱头热点温度大于80°C或者相对温差大于95%</t>
  </si>
  <si>
    <t>红外测温(套管本体)</t>
  </si>
  <si>
    <t>呈现以套管整体发热或局部发热故障</t>
  </si>
  <si>
    <t>电机运行</t>
  </si>
  <si>
    <t>风机运行异常</t>
  </si>
  <si>
    <t>油泵、水泵及油流继电器工作异常</t>
  </si>
  <si>
    <t>冷却装置控制系统</t>
  </si>
  <si>
    <t>冷却器控制系统异常</t>
  </si>
  <si>
    <t>冷却装置散热效果</t>
  </si>
  <si>
    <t>冷却装置表面有积污,但对冷却效果影响较小</t>
  </si>
  <si>
    <t>冷却装置表面积污严重,对冷却效果影响明显</t>
  </si>
  <si>
    <t>水冷却器(如有)</t>
  </si>
  <si>
    <t>冷却水管有渗漏</t>
  </si>
  <si>
    <t>渗漏位于负压区或油滴速度快于每滴5s或形成油流</t>
  </si>
  <si>
    <t>电源</t>
  </si>
  <si>
    <t>未配置三相电压监测装置</t>
  </si>
  <si>
    <t>强油循环的冷却系统的相互独立电源未采用自动切换装置</t>
  </si>
  <si>
    <t>强油循环的冷却系统未配置2个相互独立的电源</t>
  </si>
  <si>
    <t>单铜管水冷却变压器油压小于水压</t>
  </si>
  <si>
    <t>Ⅱ 级</t>
  </si>
  <si>
    <t>吸湿器油封异常，或呼吸器呼吸不畅通，或硅胶潮解变色部分超过总量的 2/3 或硅胶自上而下变色</t>
  </si>
  <si>
    <t>Ⅳ 级</t>
  </si>
  <si>
    <t>分接位置</t>
  </si>
  <si>
    <t>有载分接开关的分接位置异常</t>
  </si>
  <si>
    <t>渗漏</t>
  </si>
  <si>
    <t>Ⅰ 级</t>
  </si>
  <si>
    <t>有轻微渗漏</t>
  </si>
  <si>
    <t>渗漏严重</t>
  </si>
  <si>
    <t>切换次数与前次检修间隔</t>
  </si>
  <si>
    <t>Ⅲ 级</t>
  </si>
  <si>
    <t>分接开关切换次数超过厂家规定检修次数未检修</t>
  </si>
  <si>
    <t>制造厂检修周期规定：次数、时间</t>
  </si>
  <si>
    <t>与前次检修间隔</t>
  </si>
  <si>
    <t>超出制造厂规定检修时间间隔</t>
  </si>
  <si>
    <t>在线滤油装置</t>
  </si>
  <si>
    <t>在线滤油装置压力异常</t>
  </si>
  <si>
    <t>未按制造厂规定维护</t>
  </si>
  <si>
    <t>传动机构</t>
  </si>
  <si>
    <t>电动机运行异常或传动机构传动卡涩</t>
  </si>
  <si>
    <t>限位装置失灵</t>
  </si>
  <si>
    <t>装置失灵</t>
  </si>
  <si>
    <t>滑挡</t>
  </si>
  <si>
    <t>控制回路</t>
  </si>
  <si>
    <t>控制回路失灵，过电流闭锁异常</t>
  </si>
  <si>
    <t>动作特性</t>
  </si>
  <si>
    <t>动作特性试验不合格</t>
  </si>
  <si>
    <t>油耐压</t>
  </si>
  <si>
    <t>不合格</t>
  </si>
  <si>
    <t>(1) 各相绕组相互间的差别大于三相平均值的 2%，无中性点引出线的绕组，线间偏差大于三相平均值的 1%。(2) 同相初值差超过 ±2%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</si>
</sst>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NumberFormat="1" applyFont="1" applyFill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E16" sqref="E16"/>
    </sheetView>
  </sheetViews>
  <sheetFormatPr defaultColWidth="8" defaultRowHeight="13.8"/>
  <cols>
    <col min="1" max="1" width="8" customWidth="1"/>
    <col min="2" max="2" width="29" customWidth="1"/>
    <col min="3" max="3" width="50" customWidth="1"/>
    <col min="4" max="5" width="11" customWidth="1"/>
    <col min="6" max="6" width="50" customWidth="1"/>
    <col min="7" max="7" width="11" customWidth="1"/>
    <col min="8" max="8" width="31" customWidth="1"/>
    <col min="9" max="9" width="50" customWidth="1"/>
  </cols>
  <sheetData>
    <row r="1" ht="30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" customHeight="1" spans="1:9">
      <c r="A2" s="5">
        <v>1</v>
      </c>
      <c r="B2" s="7" t="s">
        <v>9</v>
      </c>
      <c r="C2" s="7" t="s">
        <v>10</v>
      </c>
      <c r="D2" s="5" t="s">
        <v>11</v>
      </c>
      <c r="E2" s="5">
        <v>2</v>
      </c>
      <c r="F2" s="7" t="s">
        <v>12</v>
      </c>
      <c r="G2" s="5">
        <v>2</v>
      </c>
      <c r="H2" s="8">
        <f t="shared" ref="H2:H60" si="0">E2*G2</f>
        <v>4</v>
      </c>
      <c r="I2" s="7" t="s">
        <v>13</v>
      </c>
    </row>
    <row r="3" ht="15" customHeight="1" spans="1:9">
      <c r="A3" s="9">
        <v>1</v>
      </c>
      <c r="B3" s="10" t="s">
        <v>9</v>
      </c>
      <c r="C3" s="10" t="s">
        <v>10</v>
      </c>
      <c r="D3" s="9" t="s">
        <v>14</v>
      </c>
      <c r="E3" s="9">
        <v>4</v>
      </c>
      <c r="F3" s="10" t="s">
        <v>15</v>
      </c>
      <c r="G3" s="9">
        <v>2</v>
      </c>
      <c r="H3" s="11">
        <f t="shared" si="0"/>
        <v>8</v>
      </c>
      <c r="I3" s="10"/>
    </row>
    <row r="4" ht="15" customHeight="1" spans="1:9">
      <c r="A4" s="5">
        <v>1</v>
      </c>
      <c r="B4" s="7" t="s">
        <v>9</v>
      </c>
      <c r="C4" s="7" t="s">
        <v>10</v>
      </c>
      <c r="D4" s="5" t="s">
        <v>16</v>
      </c>
      <c r="E4" s="5">
        <v>10</v>
      </c>
      <c r="F4" s="7" t="s">
        <v>17</v>
      </c>
      <c r="G4" s="5">
        <v>2</v>
      </c>
      <c r="H4" s="8">
        <f t="shared" si="0"/>
        <v>20</v>
      </c>
      <c r="I4" s="7"/>
    </row>
    <row r="5" ht="15" customHeight="1" spans="1:9">
      <c r="A5" s="9">
        <v>2</v>
      </c>
      <c r="B5" s="10" t="s">
        <v>9</v>
      </c>
      <c r="C5" s="10" t="s">
        <v>18</v>
      </c>
      <c r="D5" s="9" t="s">
        <v>11</v>
      </c>
      <c r="E5" s="9">
        <v>2</v>
      </c>
      <c r="F5" s="10" t="s">
        <v>17</v>
      </c>
      <c r="G5" s="9">
        <v>2</v>
      </c>
      <c r="H5" s="11">
        <f t="shared" si="0"/>
        <v>4</v>
      </c>
      <c r="I5" s="10" t="s">
        <v>19</v>
      </c>
    </row>
    <row r="6" ht="15" customHeight="1" spans="1:9">
      <c r="A6" s="5">
        <v>3</v>
      </c>
      <c r="B6" s="7" t="s">
        <v>9</v>
      </c>
      <c r="C6" s="7" t="s">
        <v>20</v>
      </c>
      <c r="D6" s="5" t="s">
        <v>11</v>
      </c>
      <c r="E6" s="5">
        <v>2</v>
      </c>
      <c r="F6" s="7" t="s">
        <v>21</v>
      </c>
      <c r="G6" s="5">
        <v>2</v>
      </c>
      <c r="H6" s="8">
        <f t="shared" si="0"/>
        <v>4</v>
      </c>
      <c r="I6" s="7"/>
    </row>
    <row r="7" ht="15" customHeight="1" spans="1:9">
      <c r="A7" s="9">
        <v>4</v>
      </c>
      <c r="B7" s="10" t="s">
        <v>9</v>
      </c>
      <c r="C7" s="10" t="s">
        <v>22</v>
      </c>
      <c r="D7" s="9" t="s">
        <v>11</v>
      </c>
      <c r="E7" s="9">
        <v>2</v>
      </c>
      <c r="F7" s="10" t="s">
        <v>23</v>
      </c>
      <c r="G7" s="9">
        <v>2</v>
      </c>
      <c r="H7" s="11">
        <f t="shared" si="0"/>
        <v>4</v>
      </c>
      <c r="I7" s="10" t="s">
        <v>24</v>
      </c>
    </row>
    <row r="8" ht="15" customHeight="1" spans="1:9">
      <c r="A8" s="5">
        <v>5</v>
      </c>
      <c r="B8" s="7" t="s">
        <v>9</v>
      </c>
      <c r="C8" s="7" t="s">
        <v>25</v>
      </c>
      <c r="D8" s="5" t="s">
        <v>14</v>
      </c>
      <c r="E8" s="5">
        <v>4</v>
      </c>
      <c r="F8" s="7" t="s">
        <v>26</v>
      </c>
      <c r="G8" s="5">
        <v>4</v>
      </c>
      <c r="H8" s="8">
        <f t="shared" si="0"/>
        <v>16</v>
      </c>
      <c r="I8" s="7"/>
    </row>
    <row r="9" ht="15" customHeight="1" spans="1:9">
      <c r="A9" s="9">
        <v>5</v>
      </c>
      <c r="B9" s="10" t="s">
        <v>9</v>
      </c>
      <c r="C9" s="10" t="s">
        <v>25</v>
      </c>
      <c r="D9" s="9" t="s">
        <v>16</v>
      </c>
      <c r="E9" s="9">
        <v>10</v>
      </c>
      <c r="F9" s="10" t="s">
        <v>27</v>
      </c>
      <c r="G9" s="9">
        <v>4</v>
      </c>
      <c r="H9" s="11">
        <f t="shared" si="0"/>
        <v>40</v>
      </c>
      <c r="I9" s="10"/>
    </row>
    <row r="10" ht="15" customHeight="1" spans="1:9">
      <c r="A10" s="5">
        <v>6</v>
      </c>
      <c r="B10" s="7" t="s">
        <v>9</v>
      </c>
      <c r="C10" s="7" t="s">
        <v>28</v>
      </c>
      <c r="D10" s="5" t="s">
        <v>14</v>
      </c>
      <c r="E10" s="5">
        <v>4</v>
      </c>
      <c r="F10" s="7" t="s">
        <v>29</v>
      </c>
      <c r="G10" s="5">
        <v>2</v>
      </c>
      <c r="H10" s="8">
        <f t="shared" si="0"/>
        <v>8</v>
      </c>
      <c r="I10" s="7"/>
    </row>
    <row r="11" ht="15" customHeight="1" spans="1:9">
      <c r="A11" s="9">
        <v>7</v>
      </c>
      <c r="B11" s="10" t="s">
        <v>9</v>
      </c>
      <c r="C11" s="10" t="s">
        <v>30</v>
      </c>
      <c r="D11" s="9" t="s">
        <v>11</v>
      </c>
      <c r="E11" s="9">
        <v>2</v>
      </c>
      <c r="F11" s="10" t="s">
        <v>31</v>
      </c>
      <c r="G11" s="9">
        <v>2</v>
      </c>
      <c r="H11" s="11">
        <f t="shared" si="0"/>
        <v>4</v>
      </c>
      <c r="I11" s="10"/>
    </row>
    <row r="12" ht="15" customHeight="1" spans="1:9">
      <c r="A12" s="5">
        <v>8</v>
      </c>
      <c r="B12" s="7" t="s">
        <v>9</v>
      </c>
      <c r="C12" s="7" t="s">
        <v>32</v>
      </c>
      <c r="D12" s="5" t="s">
        <v>14</v>
      </c>
      <c r="E12" s="5">
        <v>4</v>
      </c>
      <c r="F12" s="7" t="s">
        <v>33</v>
      </c>
      <c r="G12" s="5">
        <v>4</v>
      </c>
      <c r="H12" s="8">
        <f t="shared" si="0"/>
        <v>16</v>
      </c>
      <c r="I12" s="7"/>
    </row>
    <row r="13" ht="15" customHeight="1" spans="1:9">
      <c r="A13" s="9">
        <v>8</v>
      </c>
      <c r="B13" s="10" t="s">
        <v>9</v>
      </c>
      <c r="C13" s="10" t="s">
        <v>32</v>
      </c>
      <c r="D13" s="9" t="s">
        <v>16</v>
      </c>
      <c r="E13" s="9">
        <v>10</v>
      </c>
      <c r="F13" s="10" t="s">
        <v>34</v>
      </c>
      <c r="G13" s="9">
        <v>4</v>
      </c>
      <c r="H13" s="11">
        <f t="shared" si="0"/>
        <v>40</v>
      </c>
      <c r="I13" s="10"/>
    </row>
    <row r="14" ht="15" customHeight="1" spans="1:9">
      <c r="A14" s="5">
        <v>9</v>
      </c>
      <c r="B14" s="7" t="s">
        <v>9</v>
      </c>
      <c r="C14" s="7" t="s">
        <v>35</v>
      </c>
      <c r="D14" s="5" t="s">
        <v>11</v>
      </c>
      <c r="E14" s="5">
        <v>2</v>
      </c>
      <c r="F14" s="7" t="s">
        <v>36</v>
      </c>
      <c r="G14" s="5">
        <v>4</v>
      </c>
      <c r="H14" s="8">
        <f t="shared" si="0"/>
        <v>8</v>
      </c>
      <c r="I14" s="7"/>
    </row>
    <row r="15" ht="15" customHeight="1" spans="1:9">
      <c r="A15" s="9">
        <v>9</v>
      </c>
      <c r="B15" s="10" t="s">
        <v>9</v>
      </c>
      <c r="C15" s="10" t="s">
        <v>35</v>
      </c>
      <c r="D15" s="9" t="s">
        <v>14</v>
      </c>
      <c r="E15" s="9">
        <v>4</v>
      </c>
      <c r="F15" s="10" t="s">
        <v>37</v>
      </c>
      <c r="G15" s="9">
        <v>4</v>
      </c>
      <c r="H15" s="11">
        <f t="shared" si="0"/>
        <v>16</v>
      </c>
      <c r="I15" s="10"/>
    </row>
    <row r="16" ht="15" customHeight="1" spans="1:9">
      <c r="A16" s="5">
        <v>10</v>
      </c>
      <c r="B16" s="7" t="s">
        <v>9</v>
      </c>
      <c r="C16" s="7" t="s">
        <v>38</v>
      </c>
      <c r="D16" s="5" t="s">
        <v>11</v>
      </c>
      <c r="E16" s="5">
        <v>2</v>
      </c>
      <c r="F16" s="7" t="s">
        <v>39</v>
      </c>
      <c r="G16" s="5">
        <v>1</v>
      </c>
      <c r="H16" s="8">
        <f t="shared" si="0"/>
        <v>2</v>
      </c>
      <c r="I16" s="7"/>
    </row>
    <row r="17" ht="15" customHeight="1" spans="1:9">
      <c r="A17" s="9">
        <v>10</v>
      </c>
      <c r="B17" s="10" t="s">
        <v>9</v>
      </c>
      <c r="C17" s="10" t="s">
        <v>38</v>
      </c>
      <c r="D17" s="9" t="s">
        <v>40</v>
      </c>
      <c r="E17" s="9">
        <v>8</v>
      </c>
      <c r="F17" s="10" t="s">
        <v>41</v>
      </c>
      <c r="G17" s="9">
        <v>1</v>
      </c>
      <c r="H17" s="11">
        <f t="shared" si="0"/>
        <v>8</v>
      </c>
      <c r="I17" s="10"/>
    </row>
    <row r="18" ht="15" customHeight="1" spans="1:9">
      <c r="A18" s="5">
        <v>11</v>
      </c>
      <c r="B18" s="7" t="s">
        <v>9</v>
      </c>
      <c r="C18" s="7" t="s">
        <v>42</v>
      </c>
      <c r="D18" s="5" t="s">
        <v>14</v>
      </c>
      <c r="E18" s="5">
        <v>4</v>
      </c>
      <c r="F18" s="7" t="s">
        <v>43</v>
      </c>
      <c r="G18" s="5">
        <v>2</v>
      </c>
      <c r="H18" s="8">
        <f t="shared" si="0"/>
        <v>8</v>
      </c>
      <c r="I18" s="7"/>
    </row>
    <row r="19" ht="15" customHeight="1" spans="1:9">
      <c r="A19" s="9">
        <v>11</v>
      </c>
      <c r="B19" s="10" t="s">
        <v>9</v>
      </c>
      <c r="C19" s="10" t="s">
        <v>42</v>
      </c>
      <c r="D19" s="9" t="s">
        <v>16</v>
      </c>
      <c r="E19" s="9">
        <v>10</v>
      </c>
      <c r="F19" s="10" t="s">
        <v>44</v>
      </c>
      <c r="G19" s="9">
        <v>2</v>
      </c>
      <c r="H19" s="11">
        <f t="shared" si="0"/>
        <v>20</v>
      </c>
      <c r="I19" s="10"/>
    </row>
    <row r="20" ht="15" customHeight="1" spans="1:9">
      <c r="A20" s="5">
        <v>12</v>
      </c>
      <c r="B20" s="7" t="s">
        <v>9</v>
      </c>
      <c r="C20" s="7" t="s">
        <v>45</v>
      </c>
      <c r="D20" s="5" t="s">
        <v>40</v>
      </c>
      <c r="E20" s="5">
        <v>8</v>
      </c>
      <c r="F20" s="7" t="s">
        <v>46</v>
      </c>
      <c r="G20" s="5">
        <v>3</v>
      </c>
      <c r="H20" s="8">
        <f t="shared" si="0"/>
        <v>24</v>
      </c>
      <c r="I20" s="7"/>
    </row>
    <row r="21" ht="15" customHeight="1" spans="1:9">
      <c r="A21" s="9">
        <v>13</v>
      </c>
      <c r="B21" s="10" t="s">
        <v>9</v>
      </c>
      <c r="C21" s="10" t="s">
        <v>47</v>
      </c>
      <c r="D21" s="9" t="s">
        <v>16</v>
      </c>
      <c r="E21" s="9">
        <v>10</v>
      </c>
      <c r="F21" s="10" t="s">
        <v>48</v>
      </c>
      <c r="G21" s="9">
        <v>4</v>
      </c>
      <c r="H21" s="11">
        <f t="shared" si="0"/>
        <v>40</v>
      </c>
      <c r="I21" s="10"/>
    </row>
    <row r="22" ht="15" customHeight="1" spans="1:9">
      <c r="A22" s="5">
        <v>14</v>
      </c>
      <c r="B22" s="7" t="s">
        <v>9</v>
      </c>
      <c r="C22" s="7" t="s">
        <v>49</v>
      </c>
      <c r="D22" s="5" t="s">
        <v>14</v>
      </c>
      <c r="E22" s="5">
        <v>4</v>
      </c>
      <c r="F22" s="7" t="s">
        <v>50</v>
      </c>
      <c r="G22" s="5">
        <v>4</v>
      </c>
      <c r="H22" s="8">
        <f t="shared" si="0"/>
        <v>16</v>
      </c>
      <c r="I22" s="7" t="s">
        <v>51</v>
      </c>
    </row>
    <row r="23" ht="15" customHeight="1" spans="1:9">
      <c r="A23" s="9">
        <v>14</v>
      </c>
      <c r="B23" s="10" t="s">
        <v>9</v>
      </c>
      <c r="C23" s="10" t="s">
        <v>49</v>
      </c>
      <c r="D23" s="9" t="s">
        <v>16</v>
      </c>
      <c r="E23" s="9">
        <v>10</v>
      </c>
      <c r="F23" s="10" t="s">
        <v>52</v>
      </c>
      <c r="G23" s="9">
        <v>4</v>
      </c>
      <c r="H23" s="11">
        <f t="shared" si="0"/>
        <v>40</v>
      </c>
      <c r="I23" s="10"/>
    </row>
    <row r="24" ht="15" customHeight="1" spans="1:9">
      <c r="A24" s="5">
        <v>15</v>
      </c>
      <c r="B24" s="7" t="s">
        <v>53</v>
      </c>
      <c r="C24" s="7" t="s">
        <v>54</v>
      </c>
      <c r="D24" s="5" t="s">
        <v>16</v>
      </c>
      <c r="E24" s="5">
        <v>10</v>
      </c>
      <c r="F24" s="7" t="s">
        <v>55</v>
      </c>
      <c r="G24" s="5">
        <v>3</v>
      </c>
      <c r="H24" s="8">
        <f t="shared" si="0"/>
        <v>30</v>
      </c>
      <c r="I24" s="7" t="s">
        <v>56</v>
      </c>
    </row>
    <row r="25" ht="15" customHeight="1" spans="1:9">
      <c r="A25" s="9">
        <v>16</v>
      </c>
      <c r="B25" s="10" t="s">
        <v>53</v>
      </c>
      <c r="C25" s="10" t="s">
        <v>57</v>
      </c>
      <c r="D25" s="9" t="s">
        <v>11</v>
      </c>
      <c r="E25" s="9">
        <v>2</v>
      </c>
      <c r="F25" s="10" t="s">
        <v>58</v>
      </c>
      <c r="G25" s="9">
        <v>3</v>
      </c>
      <c r="H25" s="11">
        <f t="shared" si="0"/>
        <v>6</v>
      </c>
      <c r="I25" s="10" t="s">
        <v>59</v>
      </c>
    </row>
    <row r="26" ht="15" customHeight="1" spans="1:9">
      <c r="A26" s="5">
        <v>16</v>
      </c>
      <c r="B26" s="7" t="s">
        <v>53</v>
      </c>
      <c r="C26" s="7" t="s">
        <v>57</v>
      </c>
      <c r="D26" s="5" t="s">
        <v>40</v>
      </c>
      <c r="E26" s="5">
        <v>8</v>
      </c>
      <c r="F26" s="7" t="s">
        <v>60</v>
      </c>
      <c r="G26" s="5">
        <v>3</v>
      </c>
      <c r="H26" s="8">
        <f t="shared" si="0"/>
        <v>24</v>
      </c>
      <c r="I26" s="7"/>
    </row>
    <row r="27" ht="15" customHeight="1" spans="1:9">
      <c r="A27" s="9">
        <v>17</v>
      </c>
      <c r="B27" s="10" t="s">
        <v>53</v>
      </c>
      <c r="C27" s="10" t="s">
        <v>61</v>
      </c>
      <c r="D27" s="9" t="s">
        <v>62</v>
      </c>
      <c r="E27" s="9" t="s">
        <v>63</v>
      </c>
      <c r="F27" s="10" t="s">
        <v>64</v>
      </c>
      <c r="G27" s="9">
        <v>4</v>
      </c>
      <c r="H27" s="11" t="e">
        <f t="shared" si="0"/>
        <v>#VALUE!</v>
      </c>
      <c r="I27" s="10"/>
    </row>
    <row r="28" ht="15" customHeight="1" spans="1:9">
      <c r="A28" s="5">
        <v>17</v>
      </c>
      <c r="B28" s="7" t="s">
        <v>53</v>
      </c>
      <c r="C28" s="7" t="s">
        <v>61</v>
      </c>
      <c r="D28" s="5" t="s">
        <v>16</v>
      </c>
      <c r="E28" s="5">
        <v>10</v>
      </c>
      <c r="F28" s="7" t="s">
        <v>65</v>
      </c>
      <c r="G28" s="5">
        <v>4</v>
      </c>
      <c r="H28" s="8">
        <f t="shared" si="0"/>
        <v>40</v>
      </c>
      <c r="I28" s="7"/>
    </row>
    <row r="29" ht="15" customHeight="1" spans="1:9">
      <c r="A29" s="9">
        <v>18</v>
      </c>
      <c r="B29" s="10" t="s">
        <v>53</v>
      </c>
      <c r="C29" s="10" t="s">
        <v>66</v>
      </c>
      <c r="D29" s="9" t="s">
        <v>11</v>
      </c>
      <c r="E29" s="9">
        <v>2</v>
      </c>
      <c r="F29" s="10" t="s">
        <v>67</v>
      </c>
      <c r="G29" s="9">
        <v>2</v>
      </c>
      <c r="H29" s="11">
        <f t="shared" si="0"/>
        <v>4</v>
      </c>
      <c r="I29" s="10" t="s">
        <v>68</v>
      </c>
    </row>
    <row r="30" ht="15" customHeight="1" spans="1:9">
      <c r="A30" s="5">
        <v>18</v>
      </c>
      <c r="B30" s="7" t="s">
        <v>53</v>
      </c>
      <c r="C30" s="7" t="s">
        <v>66</v>
      </c>
      <c r="D30" s="5" t="s">
        <v>69</v>
      </c>
      <c r="E30" s="5" t="s">
        <v>70</v>
      </c>
      <c r="F30" s="7" t="s">
        <v>71</v>
      </c>
      <c r="G30" s="5">
        <v>2</v>
      </c>
      <c r="H30" s="8" t="e">
        <f t="shared" si="0"/>
        <v>#VALUE!</v>
      </c>
      <c r="I30" s="7"/>
    </row>
    <row r="31" ht="15" customHeight="1" spans="1:9">
      <c r="A31" s="9">
        <v>18</v>
      </c>
      <c r="B31" s="10" t="s">
        <v>53</v>
      </c>
      <c r="C31" s="10" t="s">
        <v>66</v>
      </c>
      <c r="D31" s="9" t="s">
        <v>16</v>
      </c>
      <c r="E31" s="9">
        <v>10</v>
      </c>
      <c r="F31" s="10" t="s">
        <v>72</v>
      </c>
      <c r="G31" s="9">
        <v>2</v>
      </c>
      <c r="H31" s="11">
        <f t="shared" si="0"/>
        <v>20</v>
      </c>
      <c r="I31" s="10"/>
    </row>
    <row r="32" ht="15" customHeight="1" spans="1:9">
      <c r="A32" s="5">
        <v>19</v>
      </c>
      <c r="B32" s="7" t="s">
        <v>53</v>
      </c>
      <c r="C32" s="7" t="s">
        <v>73</v>
      </c>
      <c r="D32" s="5" t="s">
        <v>16</v>
      </c>
      <c r="E32" s="5">
        <v>10</v>
      </c>
      <c r="F32" s="7" t="s">
        <v>74</v>
      </c>
      <c r="G32" s="5">
        <v>3</v>
      </c>
      <c r="H32" s="8">
        <f t="shared" si="0"/>
        <v>30</v>
      </c>
      <c r="I32" s="7" t="s">
        <v>75</v>
      </c>
    </row>
    <row r="33" ht="15" customHeight="1" spans="1:9">
      <c r="A33" s="9">
        <v>20</v>
      </c>
      <c r="B33" s="10" t="s">
        <v>53</v>
      </c>
      <c r="C33" s="10" t="s">
        <v>76</v>
      </c>
      <c r="D33" s="9" t="s">
        <v>11</v>
      </c>
      <c r="E33" s="9">
        <v>2</v>
      </c>
      <c r="F33" s="10" t="s">
        <v>77</v>
      </c>
      <c r="G33" s="9">
        <v>3</v>
      </c>
      <c r="H33" s="11">
        <f t="shared" si="0"/>
        <v>6</v>
      </c>
      <c r="I33" s="10"/>
    </row>
    <row r="34" ht="15" customHeight="1" spans="1:9">
      <c r="A34" s="5">
        <v>20</v>
      </c>
      <c r="B34" s="7" t="s">
        <v>53</v>
      </c>
      <c r="C34" s="7" t="s">
        <v>76</v>
      </c>
      <c r="D34" s="5" t="s">
        <v>69</v>
      </c>
      <c r="E34" s="5" t="s">
        <v>70</v>
      </c>
      <c r="F34" s="7" t="s">
        <v>78</v>
      </c>
      <c r="G34" s="5">
        <v>3</v>
      </c>
      <c r="H34" s="8" t="e">
        <f t="shared" si="0"/>
        <v>#VALUE!</v>
      </c>
      <c r="I34" s="7"/>
    </row>
    <row r="35" ht="15" customHeight="1" spans="1:9">
      <c r="A35" s="9">
        <v>20</v>
      </c>
      <c r="B35" s="10" t="s">
        <v>53</v>
      </c>
      <c r="C35" s="10" t="s">
        <v>76</v>
      </c>
      <c r="D35" s="9" t="s">
        <v>16</v>
      </c>
      <c r="E35" s="9">
        <v>10</v>
      </c>
      <c r="F35" s="10" t="s">
        <v>79</v>
      </c>
      <c r="G35" s="9">
        <v>3</v>
      </c>
      <c r="H35" s="11">
        <f t="shared" si="0"/>
        <v>30</v>
      </c>
      <c r="I35" s="10"/>
    </row>
    <row r="36" ht="15" customHeight="1" spans="1:9">
      <c r="A36" s="5">
        <v>21</v>
      </c>
      <c r="B36" s="7" t="s">
        <v>53</v>
      </c>
      <c r="C36" s="7" t="s">
        <v>80</v>
      </c>
      <c r="D36" s="5" t="s">
        <v>62</v>
      </c>
      <c r="E36" s="5" t="s">
        <v>63</v>
      </c>
      <c r="F36" s="7" t="s">
        <v>81</v>
      </c>
      <c r="G36" s="5">
        <v>1</v>
      </c>
      <c r="H36" s="8" t="e">
        <f t="shared" si="0"/>
        <v>#VALUE!</v>
      </c>
      <c r="I36" s="7" t="s">
        <v>82</v>
      </c>
    </row>
    <row r="37" ht="15" customHeight="1" spans="1:9">
      <c r="A37" s="9">
        <v>21</v>
      </c>
      <c r="B37" s="10" t="s">
        <v>53</v>
      </c>
      <c r="C37" s="10" t="s">
        <v>80</v>
      </c>
      <c r="D37" s="9" t="s">
        <v>16</v>
      </c>
      <c r="E37" s="9">
        <v>10</v>
      </c>
      <c r="F37" s="10" t="s">
        <v>83</v>
      </c>
      <c r="G37" s="9">
        <v>1</v>
      </c>
      <c r="H37" s="11">
        <f t="shared" si="0"/>
        <v>10</v>
      </c>
      <c r="I37" s="10"/>
    </row>
    <row r="38" ht="15" customHeight="1" spans="1:9">
      <c r="A38" s="5">
        <v>22</v>
      </c>
      <c r="B38" s="7" t="s">
        <v>53</v>
      </c>
      <c r="C38" s="7" t="s">
        <v>84</v>
      </c>
      <c r="D38" s="5" t="s">
        <v>16</v>
      </c>
      <c r="E38" s="5">
        <v>10</v>
      </c>
      <c r="F38" s="7" t="s">
        <v>85</v>
      </c>
      <c r="G38" s="5">
        <v>2</v>
      </c>
      <c r="H38" s="8">
        <f t="shared" si="0"/>
        <v>20</v>
      </c>
      <c r="I38" s="7"/>
    </row>
    <row r="39" ht="15" customHeight="1" spans="1:9">
      <c r="A39" s="9">
        <v>23</v>
      </c>
      <c r="B39" s="10" t="s">
        <v>53</v>
      </c>
      <c r="C39" s="10" t="s">
        <v>86</v>
      </c>
      <c r="D39" s="9" t="s">
        <v>14</v>
      </c>
      <c r="E39" s="9">
        <v>4</v>
      </c>
      <c r="F39" s="10" t="s">
        <v>87</v>
      </c>
      <c r="G39" s="9">
        <v>3</v>
      </c>
      <c r="H39" s="11">
        <f t="shared" si="0"/>
        <v>12</v>
      </c>
      <c r="I39" s="10"/>
    </row>
    <row r="40" ht="15" customHeight="1" spans="1:9">
      <c r="A40" s="5">
        <v>24</v>
      </c>
      <c r="B40" s="7" t="s">
        <v>53</v>
      </c>
      <c r="C40" s="7" t="s">
        <v>88</v>
      </c>
      <c r="D40" s="5" t="s">
        <v>14</v>
      </c>
      <c r="E40" s="5">
        <v>4</v>
      </c>
      <c r="F40" s="7" t="s">
        <v>89</v>
      </c>
      <c r="G40" s="5">
        <v>3</v>
      </c>
      <c r="H40" s="8">
        <f t="shared" si="0"/>
        <v>12</v>
      </c>
      <c r="I40" s="7"/>
    </row>
    <row r="41" ht="15" customHeight="1" spans="1:9">
      <c r="A41" s="9">
        <v>25</v>
      </c>
      <c r="B41" s="10" t="s">
        <v>53</v>
      </c>
      <c r="C41" s="10" t="s">
        <v>90</v>
      </c>
      <c r="D41" s="9" t="s">
        <v>14</v>
      </c>
      <c r="E41" s="9">
        <v>4</v>
      </c>
      <c r="F41" s="10" t="s">
        <v>91</v>
      </c>
      <c r="G41" s="9">
        <v>3</v>
      </c>
      <c r="H41" s="11">
        <f t="shared" si="0"/>
        <v>12</v>
      </c>
      <c r="I41" s="10" t="s">
        <v>92</v>
      </c>
    </row>
    <row r="42" ht="15" customHeight="1" spans="1:9">
      <c r="A42" s="5">
        <v>26</v>
      </c>
      <c r="B42" s="7" t="s">
        <v>53</v>
      </c>
      <c r="C42" s="7" t="s">
        <v>93</v>
      </c>
      <c r="D42" s="5" t="s">
        <v>14</v>
      </c>
      <c r="E42" s="5">
        <v>4</v>
      </c>
      <c r="F42" s="7" t="s">
        <v>94</v>
      </c>
      <c r="G42" s="5">
        <v>2</v>
      </c>
      <c r="H42" s="8">
        <f t="shared" si="0"/>
        <v>8</v>
      </c>
      <c r="I42" s="7" t="s">
        <v>95</v>
      </c>
    </row>
    <row r="43" ht="15" customHeight="1" spans="1:9">
      <c r="A43" s="9">
        <v>27</v>
      </c>
      <c r="B43" s="10" t="s">
        <v>53</v>
      </c>
      <c r="C43" s="10" t="s">
        <v>96</v>
      </c>
      <c r="D43" s="9" t="s">
        <v>16</v>
      </c>
      <c r="E43" s="9">
        <v>10</v>
      </c>
      <c r="F43" s="10" t="s">
        <v>97</v>
      </c>
      <c r="G43" s="9">
        <v>3</v>
      </c>
      <c r="H43" s="11">
        <f t="shared" si="0"/>
        <v>30</v>
      </c>
      <c r="I43" s="10"/>
    </row>
    <row r="44" ht="15" customHeight="1" spans="1:9">
      <c r="A44" s="5">
        <v>28</v>
      </c>
      <c r="B44" s="7" t="s">
        <v>53</v>
      </c>
      <c r="C44" s="7" t="s">
        <v>98</v>
      </c>
      <c r="D44" s="5" t="s">
        <v>16</v>
      </c>
      <c r="E44" s="5">
        <v>10</v>
      </c>
      <c r="F44" s="7" t="s">
        <v>99</v>
      </c>
      <c r="G44" s="5">
        <v>3</v>
      </c>
      <c r="H44" s="8">
        <f t="shared" si="0"/>
        <v>30</v>
      </c>
      <c r="I44" s="7" t="s">
        <v>100</v>
      </c>
    </row>
    <row r="45" ht="15" customHeight="1" spans="1:9">
      <c r="A45" s="9">
        <v>29</v>
      </c>
      <c r="B45" s="10" t="s">
        <v>53</v>
      </c>
      <c r="C45" s="10" t="s">
        <v>101</v>
      </c>
      <c r="D45" s="9" t="s">
        <v>14</v>
      </c>
      <c r="E45" s="9">
        <v>4</v>
      </c>
      <c r="F45" s="10" t="s">
        <v>102</v>
      </c>
      <c r="G45" s="9">
        <v>3</v>
      </c>
      <c r="H45" s="11">
        <f t="shared" si="0"/>
        <v>12</v>
      </c>
      <c r="I45" s="10"/>
    </row>
    <row r="46" ht="15" customHeight="1" spans="1:9">
      <c r="A46" s="5">
        <v>30</v>
      </c>
      <c r="B46" s="7" t="s">
        <v>53</v>
      </c>
      <c r="C46" s="7" t="s">
        <v>103</v>
      </c>
      <c r="D46" s="5" t="s">
        <v>62</v>
      </c>
      <c r="E46" s="5" t="s">
        <v>63</v>
      </c>
      <c r="F46" s="7" t="s">
        <v>104</v>
      </c>
      <c r="G46" s="5">
        <v>3</v>
      </c>
      <c r="H46" s="8" t="e">
        <f t="shared" si="0"/>
        <v>#VALUE!</v>
      </c>
      <c r="I46" s="7" t="s">
        <v>105</v>
      </c>
    </row>
    <row r="47" ht="15" customHeight="1" spans="1:9">
      <c r="A47" s="9">
        <v>30</v>
      </c>
      <c r="B47" s="10" t="s">
        <v>53</v>
      </c>
      <c r="C47" s="10" t="s">
        <v>103</v>
      </c>
      <c r="D47" s="9" t="s">
        <v>16</v>
      </c>
      <c r="E47" s="9">
        <v>10</v>
      </c>
      <c r="F47" s="10" t="s">
        <v>106</v>
      </c>
      <c r="G47" s="9">
        <v>3</v>
      </c>
      <c r="H47" s="11">
        <f t="shared" si="0"/>
        <v>30</v>
      </c>
      <c r="I47" s="10"/>
    </row>
    <row r="48" ht="15" customHeight="1" spans="1:9">
      <c r="A48" s="5">
        <v>30</v>
      </c>
      <c r="B48" s="7" t="s">
        <v>53</v>
      </c>
      <c r="C48" s="7" t="s">
        <v>107</v>
      </c>
      <c r="D48" s="5" t="s">
        <v>14</v>
      </c>
      <c r="E48" s="5">
        <v>8</v>
      </c>
      <c r="F48" s="7" t="s">
        <v>108</v>
      </c>
      <c r="G48" s="5">
        <v>3</v>
      </c>
      <c r="H48" s="8">
        <f t="shared" si="0"/>
        <v>24</v>
      </c>
      <c r="I48" s="7"/>
    </row>
    <row r="49" ht="15" customHeight="1" spans="1:9">
      <c r="A49" s="9">
        <v>30</v>
      </c>
      <c r="B49" s="10" t="s">
        <v>53</v>
      </c>
      <c r="C49" s="10" t="s">
        <v>107</v>
      </c>
      <c r="D49" s="9" t="s">
        <v>16</v>
      </c>
      <c r="E49" s="9">
        <v>10</v>
      </c>
      <c r="F49" s="10" t="s">
        <v>109</v>
      </c>
      <c r="G49" s="9">
        <v>3</v>
      </c>
      <c r="H49" s="11">
        <f t="shared" si="0"/>
        <v>30</v>
      </c>
      <c r="I49" s="10"/>
    </row>
    <row r="50" ht="15" customHeight="1" spans="1:9">
      <c r="A50" s="5">
        <v>30</v>
      </c>
      <c r="B50" s="7" t="s">
        <v>53</v>
      </c>
      <c r="C50" s="7" t="s">
        <v>110</v>
      </c>
      <c r="D50" s="5" t="s">
        <v>14</v>
      </c>
      <c r="E50" s="5">
        <v>4</v>
      </c>
      <c r="F50" s="7" t="s">
        <v>111</v>
      </c>
      <c r="G50" s="5">
        <v>2</v>
      </c>
      <c r="H50" s="8">
        <f t="shared" si="0"/>
        <v>8</v>
      </c>
      <c r="I50" s="7"/>
    </row>
    <row r="51" ht="15" customHeight="1" spans="1:9">
      <c r="A51" s="9">
        <v>30</v>
      </c>
      <c r="B51" s="10" t="s">
        <v>53</v>
      </c>
      <c r="C51" s="10" t="s">
        <v>112</v>
      </c>
      <c r="D51" s="9" t="s">
        <v>14</v>
      </c>
      <c r="E51" s="9">
        <v>4</v>
      </c>
      <c r="F51" s="10" t="s">
        <v>113</v>
      </c>
      <c r="G51" s="9">
        <v>2</v>
      </c>
      <c r="H51" s="11">
        <f t="shared" si="0"/>
        <v>8</v>
      </c>
      <c r="I51" s="10"/>
    </row>
    <row r="52" ht="15" customHeight="1" spans="1:9">
      <c r="A52" s="5">
        <v>31</v>
      </c>
      <c r="B52" s="7" t="s">
        <v>53</v>
      </c>
      <c r="C52" s="7" t="s">
        <v>114</v>
      </c>
      <c r="D52" s="5" t="s">
        <v>115</v>
      </c>
      <c r="E52" s="5" t="s">
        <v>116</v>
      </c>
      <c r="F52" s="7" t="s">
        <v>117</v>
      </c>
      <c r="G52" s="5">
        <v>3</v>
      </c>
      <c r="H52" s="8" t="e">
        <f t="shared" si="0"/>
        <v>#VALUE!</v>
      </c>
      <c r="I52" s="7"/>
    </row>
    <row r="53" ht="15" customHeight="1" spans="1:9">
      <c r="A53" s="9">
        <v>31</v>
      </c>
      <c r="B53" s="10" t="s">
        <v>53</v>
      </c>
      <c r="C53" s="10" t="s">
        <v>114</v>
      </c>
      <c r="D53" s="9" t="s">
        <v>40</v>
      </c>
      <c r="E53" s="9">
        <v>8</v>
      </c>
      <c r="F53" s="10" t="s">
        <v>118</v>
      </c>
      <c r="G53" s="9">
        <v>3</v>
      </c>
      <c r="H53" s="11">
        <f t="shared" si="0"/>
        <v>24</v>
      </c>
      <c r="I53" s="10"/>
    </row>
    <row r="54" ht="15" customHeight="1" spans="1:9">
      <c r="A54" s="5">
        <v>32</v>
      </c>
      <c r="B54" s="7" t="s">
        <v>53</v>
      </c>
      <c r="C54" s="7" t="s">
        <v>119</v>
      </c>
      <c r="D54" s="5" t="s">
        <v>16</v>
      </c>
      <c r="E54" s="5">
        <v>10</v>
      </c>
      <c r="F54" s="7" t="s">
        <v>120</v>
      </c>
      <c r="G54" s="5">
        <v>4</v>
      </c>
      <c r="H54" s="8">
        <f t="shared" si="0"/>
        <v>40</v>
      </c>
      <c r="I54" s="7" t="s">
        <v>121</v>
      </c>
    </row>
    <row r="55" ht="15" customHeight="1" spans="1:9">
      <c r="A55" s="9">
        <v>33</v>
      </c>
      <c r="B55" s="10" t="s">
        <v>122</v>
      </c>
      <c r="C55" s="10" t="s">
        <v>123</v>
      </c>
      <c r="D55" s="9" t="s">
        <v>14</v>
      </c>
      <c r="E55" s="9">
        <v>4</v>
      </c>
      <c r="F55" s="10" t="s">
        <v>124</v>
      </c>
      <c r="G55" s="9">
        <v>3</v>
      </c>
      <c r="H55" s="11">
        <f t="shared" si="0"/>
        <v>12</v>
      </c>
      <c r="I55" s="10"/>
    </row>
    <row r="56" ht="15" customHeight="1" spans="1:9">
      <c r="A56" s="5">
        <v>33</v>
      </c>
      <c r="B56" s="7" t="s">
        <v>122</v>
      </c>
      <c r="C56" s="7" t="s">
        <v>123</v>
      </c>
      <c r="D56" s="5" t="s">
        <v>16</v>
      </c>
      <c r="E56" s="5">
        <v>10</v>
      </c>
      <c r="F56" s="7" t="s">
        <v>125</v>
      </c>
      <c r="G56" s="5">
        <v>3</v>
      </c>
      <c r="H56" s="8">
        <f t="shared" si="0"/>
        <v>30</v>
      </c>
      <c r="I56" s="7"/>
    </row>
    <row r="57" ht="15" customHeight="1" spans="1:9">
      <c r="A57" s="9">
        <v>34</v>
      </c>
      <c r="B57" s="10" t="s">
        <v>122</v>
      </c>
      <c r="C57" s="10" t="s">
        <v>126</v>
      </c>
      <c r="D57" s="9" t="s">
        <v>40</v>
      </c>
      <c r="E57" s="9">
        <v>8</v>
      </c>
      <c r="F57" s="10" t="s">
        <v>127</v>
      </c>
      <c r="G57" s="9">
        <v>2</v>
      </c>
      <c r="H57" s="11">
        <f t="shared" si="0"/>
        <v>16</v>
      </c>
      <c r="I57" s="10"/>
    </row>
    <row r="58" ht="15" customHeight="1" spans="1:9">
      <c r="A58" s="5">
        <v>35</v>
      </c>
      <c r="B58" s="7" t="s">
        <v>122</v>
      </c>
      <c r="C58" s="7" t="s">
        <v>128</v>
      </c>
      <c r="D58" s="5" t="s">
        <v>40</v>
      </c>
      <c r="E58" s="5">
        <v>8</v>
      </c>
      <c r="F58" s="7" t="s">
        <v>129</v>
      </c>
      <c r="G58" s="5">
        <v>2</v>
      </c>
      <c r="H58" s="8">
        <f t="shared" si="0"/>
        <v>16</v>
      </c>
      <c r="I58" s="7"/>
    </row>
    <row r="59" ht="15" customHeight="1" spans="1:9">
      <c r="A59" s="9">
        <v>36</v>
      </c>
      <c r="B59" s="10" t="s">
        <v>122</v>
      </c>
      <c r="C59" s="10" t="s">
        <v>25</v>
      </c>
      <c r="D59" s="9" t="s">
        <v>40</v>
      </c>
      <c r="E59" s="9">
        <v>8</v>
      </c>
      <c r="F59" s="10" t="s">
        <v>130</v>
      </c>
      <c r="G59" s="9">
        <v>2</v>
      </c>
      <c r="H59" s="11">
        <f t="shared" si="0"/>
        <v>16</v>
      </c>
      <c r="I59" s="10"/>
    </row>
    <row r="60" ht="15" customHeight="1" spans="1:9">
      <c r="A60" s="5">
        <v>37</v>
      </c>
      <c r="B60" s="7" t="s">
        <v>122</v>
      </c>
      <c r="C60" s="7" t="s">
        <v>131</v>
      </c>
      <c r="D60" s="5" t="s">
        <v>40</v>
      </c>
      <c r="E60" s="5">
        <v>8</v>
      </c>
      <c r="F60" s="7" t="s">
        <v>132</v>
      </c>
      <c r="G60" s="5">
        <v>2</v>
      </c>
      <c r="H60" s="8">
        <f t="shared" si="0"/>
        <v>16</v>
      </c>
      <c r="I60" s="7"/>
    </row>
    <row r="91" ht="15" customHeight="1" spans="1:9">
      <c r="A91" s="9"/>
      <c r="B91" s="10"/>
      <c r="C91" s="10"/>
      <c r="D91" s="9"/>
      <c r="E91" s="9"/>
      <c r="F91" s="10"/>
      <c r="G91" s="9"/>
      <c r="H91" s="11"/>
      <c r="I91" s="10"/>
    </row>
    <row r="92" ht="15" customHeight="1" spans="1:9">
      <c r="A92" s="5"/>
      <c r="B92" s="7"/>
      <c r="C92" s="7"/>
      <c r="D92" s="5"/>
      <c r="E92" s="5"/>
      <c r="F92" s="7"/>
      <c r="G92" s="5"/>
      <c r="H92" s="8"/>
      <c r="I92" s="7"/>
    </row>
    <row r="93" ht="15" customHeight="1" spans="1:9">
      <c r="A93" s="9"/>
      <c r="B93" s="10"/>
      <c r="C93" s="10"/>
      <c r="D93" s="9"/>
      <c r="E93" s="9"/>
      <c r="F93" s="10"/>
      <c r="G93" s="9"/>
      <c r="H93" s="11"/>
      <c r="I93" s="10"/>
    </row>
    <row r="94" ht="15" customHeight="1" spans="1:9">
      <c r="A94" s="5"/>
      <c r="B94" s="7"/>
      <c r="C94" s="7"/>
      <c r="D94" s="5"/>
      <c r="E94" s="5"/>
      <c r="F94" s="7"/>
      <c r="G94" s="5"/>
      <c r="H94" s="8"/>
      <c r="I94" s="7"/>
    </row>
    <row r="95" ht="15" customHeight="1" spans="1:9">
      <c r="A95" s="9"/>
      <c r="B95" s="10"/>
      <c r="C95" s="10"/>
      <c r="D95" s="9"/>
      <c r="E95" s="9"/>
      <c r="F95" s="10"/>
      <c r="G95" s="9"/>
      <c r="H95" s="11"/>
      <c r="I95" s="10"/>
    </row>
    <row r="96" ht="15" customHeight="1" spans="1:9">
      <c r="A96" s="5"/>
      <c r="B96" s="7"/>
      <c r="C96" s="7"/>
      <c r="D96" s="5"/>
      <c r="E96" s="5"/>
      <c r="F96" s="7"/>
      <c r="G96" s="5"/>
      <c r="H96" s="8"/>
      <c r="I96" s="7"/>
    </row>
    <row r="97" ht="15" customHeight="1" spans="1:9">
      <c r="A97" s="9"/>
      <c r="B97" s="10"/>
      <c r="C97" s="10"/>
      <c r="D97" s="9"/>
      <c r="E97" s="9"/>
      <c r="F97" s="10"/>
      <c r="G97" s="9"/>
      <c r="H97" s="11"/>
      <c r="I97" s="10"/>
    </row>
    <row r="98" ht="15" customHeight="1" spans="1:9">
      <c r="A98" s="5"/>
      <c r="B98" s="7"/>
      <c r="C98" s="7"/>
      <c r="D98" s="5"/>
      <c r="E98" s="5"/>
      <c r="F98" s="7"/>
      <c r="G98" s="5"/>
      <c r="H98" s="8"/>
      <c r="I98" s="7"/>
    </row>
    <row r="99" ht="15" customHeight="1" spans="1:9">
      <c r="A99" s="9"/>
      <c r="B99" s="10"/>
      <c r="C99" s="10"/>
      <c r="D99" s="9"/>
      <c r="E99" s="9"/>
      <c r="F99" s="10"/>
      <c r="G99" s="9"/>
      <c r="H99" s="11"/>
      <c r="I99" s="10"/>
    </row>
    <row r="100" ht="15" customHeight="1" spans="1:9">
      <c r="A100" s="5"/>
      <c r="B100" s="7"/>
      <c r="C100" s="7"/>
      <c r="D100" s="5"/>
      <c r="E100" s="5"/>
      <c r="F100" s="7"/>
      <c r="G100" s="5"/>
      <c r="H100" s="8"/>
      <c r="I100" s="7"/>
    </row>
    <row r="101" ht="15" customHeight="1" spans="1:9">
      <c r="A101" s="9"/>
      <c r="B101" s="10"/>
      <c r="C101" s="10"/>
      <c r="D101" s="9"/>
      <c r="E101" s="9"/>
      <c r="F101" s="10"/>
      <c r="G101" s="9"/>
      <c r="H101" s="11"/>
      <c r="I101" s="10"/>
    </row>
    <row r="102" ht="15" customHeight="1" spans="1:9">
      <c r="A102" s="5"/>
      <c r="B102" s="7"/>
      <c r="C102" s="7"/>
      <c r="D102" s="5"/>
      <c r="E102" s="5"/>
      <c r="F102" s="7"/>
      <c r="G102" s="5"/>
      <c r="H102" s="8"/>
      <c r="I102" s="7"/>
    </row>
    <row r="103" ht="15" customHeight="1" spans="1:9">
      <c r="A103" s="9"/>
      <c r="B103" s="10"/>
      <c r="C103" s="10"/>
      <c r="D103" s="9"/>
      <c r="E103" s="9"/>
      <c r="F103" s="10"/>
      <c r="G103" s="9"/>
      <c r="H103" s="11"/>
      <c r="I103" s="10"/>
    </row>
    <row r="104" ht="15" customHeight="1" spans="1:9">
      <c r="A104" s="5"/>
      <c r="B104" s="7"/>
      <c r="C104" s="7"/>
      <c r="D104" s="5"/>
      <c r="E104" s="5"/>
      <c r="F104" s="7"/>
      <c r="G104" s="5"/>
      <c r="H104" s="8"/>
      <c r="I104" s="7"/>
    </row>
    <row r="105" ht="15" customHeight="1" spans="1:9">
      <c r="A105" s="9"/>
      <c r="B105" s="10"/>
      <c r="C105" s="10"/>
      <c r="D105" s="9"/>
      <c r="E105" s="9"/>
      <c r="F105" s="10"/>
      <c r="G105" s="9"/>
      <c r="H105" s="11"/>
      <c r="I105" s="10"/>
    </row>
    <row r="106" ht="15" customHeight="1" spans="1:9">
      <c r="A106" s="5"/>
      <c r="B106" s="7"/>
      <c r="C106" s="7"/>
      <c r="D106" s="5"/>
      <c r="E106" s="5"/>
      <c r="F106" s="7"/>
      <c r="G106" s="5"/>
      <c r="H106" s="8"/>
      <c r="I106" s="7"/>
    </row>
    <row r="107" ht="15" customHeight="1" spans="1:9">
      <c r="A107" s="9"/>
      <c r="B107" s="10"/>
      <c r="C107" s="10"/>
      <c r="D107" s="9"/>
      <c r="E107" s="9"/>
      <c r="F107" s="10"/>
      <c r="G107" s="9"/>
      <c r="H107" s="11"/>
      <c r="I107" s="10"/>
    </row>
    <row r="108" ht="15" customHeight="1" spans="1:9">
      <c r="A108" s="5"/>
      <c r="B108" s="7"/>
      <c r="C108" s="7"/>
      <c r="D108" s="5"/>
      <c r="E108" s="5"/>
      <c r="F108" s="7"/>
      <c r="G108" s="5"/>
      <c r="H108" s="8"/>
      <c r="I108" s="7"/>
    </row>
    <row r="109" ht="15" customHeight="1" spans="1:9">
      <c r="A109" s="9"/>
      <c r="B109" s="10"/>
      <c r="C109" s="10"/>
      <c r="D109" s="9"/>
      <c r="E109" s="9"/>
      <c r="F109" s="10"/>
      <c r="G109" s="9"/>
      <c r="H109" s="11"/>
      <c r="I109" s="10"/>
    </row>
    <row r="110" ht="14.4" spans="1:9">
      <c r="A110" s="5"/>
      <c r="B110" s="7"/>
      <c r="C110" s="7"/>
      <c r="D110" s="5"/>
      <c r="E110" s="5"/>
      <c r="F110" s="7"/>
      <c r="G110" s="5"/>
      <c r="H110" s="8"/>
      <c r="I110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18" sqref="I18"/>
    </sheetView>
  </sheetViews>
  <sheetFormatPr defaultColWidth="8.88888888888889" defaultRowHeight="13.8"/>
  <sheetData>
    <row r="1" ht="30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" customHeight="1" spans="1:9">
      <c r="A2" s="9">
        <v>1</v>
      </c>
      <c r="B2" s="13" t="s">
        <v>9</v>
      </c>
      <c r="C2" s="10" t="s">
        <v>133</v>
      </c>
      <c r="D2" s="9" t="s">
        <v>16</v>
      </c>
      <c r="E2" s="9">
        <v>10</v>
      </c>
      <c r="F2" s="10" t="s">
        <v>134</v>
      </c>
      <c r="G2" s="9">
        <v>3</v>
      </c>
      <c r="H2" s="11">
        <f t="shared" ref="H2:H18" si="0">E2*G2</f>
        <v>30</v>
      </c>
      <c r="I2" s="10"/>
    </row>
    <row r="3" ht="15" customHeight="1" spans="1:9">
      <c r="A3" s="5">
        <v>2</v>
      </c>
      <c r="B3" s="6" t="s">
        <v>9</v>
      </c>
      <c r="C3" s="7" t="s">
        <v>135</v>
      </c>
      <c r="D3" s="5" t="s">
        <v>11</v>
      </c>
      <c r="E3" s="5">
        <v>2</v>
      </c>
      <c r="F3" s="7" t="s">
        <v>136</v>
      </c>
      <c r="G3" s="5">
        <v>4</v>
      </c>
      <c r="H3" s="8">
        <f t="shared" si="0"/>
        <v>8</v>
      </c>
      <c r="I3" s="7"/>
    </row>
    <row r="4" ht="15" customHeight="1" spans="1:9">
      <c r="A4" s="9">
        <v>2</v>
      </c>
      <c r="B4" s="10" t="s">
        <v>9</v>
      </c>
      <c r="C4" s="10" t="s">
        <v>135</v>
      </c>
      <c r="D4" s="9" t="s">
        <v>16</v>
      </c>
      <c r="E4" s="9">
        <v>10</v>
      </c>
      <c r="F4" s="10" t="s">
        <v>137</v>
      </c>
      <c r="G4" s="9">
        <v>4</v>
      </c>
      <c r="H4" s="11">
        <f t="shared" si="0"/>
        <v>40</v>
      </c>
      <c r="I4" s="10"/>
    </row>
    <row r="5" ht="15" customHeight="1" spans="1:9">
      <c r="A5" s="5">
        <v>3</v>
      </c>
      <c r="B5" s="6" t="s">
        <v>9</v>
      </c>
      <c r="C5" s="7" t="s">
        <v>138</v>
      </c>
      <c r="D5" s="5" t="s">
        <v>16</v>
      </c>
      <c r="E5" s="5">
        <v>10</v>
      </c>
      <c r="F5" s="7" t="s">
        <v>139</v>
      </c>
      <c r="G5" s="5">
        <v>3</v>
      </c>
      <c r="H5" s="8">
        <f t="shared" si="0"/>
        <v>30</v>
      </c>
      <c r="I5" s="7"/>
    </row>
    <row r="6" ht="15" customHeight="1" spans="1:9">
      <c r="A6" s="9">
        <v>4</v>
      </c>
      <c r="B6" s="13" t="s">
        <v>53</v>
      </c>
      <c r="C6" s="10" t="s">
        <v>140</v>
      </c>
      <c r="D6" s="9" t="s">
        <v>11</v>
      </c>
      <c r="E6" s="9">
        <v>2</v>
      </c>
      <c r="F6" s="10" t="s">
        <v>141</v>
      </c>
      <c r="G6" s="9">
        <v>3</v>
      </c>
      <c r="H6" s="11">
        <f t="shared" si="0"/>
        <v>6</v>
      </c>
      <c r="I6" s="10"/>
    </row>
    <row r="7" ht="15" customHeight="1" spans="1:9">
      <c r="A7" s="5">
        <v>5</v>
      </c>
      <c r="B7" s="13" t="s">
        <v>53</v>
      </c>
      <c r="C7" s="7" t="s">
        <v>142</v>
      </c>
      <c r="D7" s="5" t="s">
        <v>40</v>
      </c>
      <c r="E7" s="5">
        <v>4</v>
      </c>
      <c r="F7" s="7" t="s">
        <v>143</v>
      </c>
      <c r="G7" s="5">
        <v>3</v>
      </c>
      <c r="H7" s="8">
        <f t="shared" si="0"/>
        <v>12</v>
      </c>
      <c r="I7" s="7"/>
    </row>
    <row r="8" ht="15" customHeight="1" spans="1:9">
      <c r="A8" s="9">
        <v>5</v>
      </c>
      <c r="B8" s="13" t="s">
        <v>53</v>
      </c>
      <c r="C8" s="10" t="s">
        <v>142</v>
      </c>
      <c r="D8" s="9" t="s">
        <v>16</v>
      </c>
      <c r="E8" s="9">
        <v>8</v>
      </c>
      <c r="F8" s="10" t="s">
        <v>144</v>
      </c>
      <c r="G8" s="9">
        <v>3</v>
      </c>
      <c r="H8" s="11">
        <f t="shared" si="0"/>
        <v>24</v>
      </c>
      <c r="I8" s="10"/>
    </row>
    <row r="9" ht="15" customHeight="1" spans="1:9">
      <c r="A9" s="5">
        <v>6</v>
      </c>
      <c r="B9" s="13" t="s">
        <v>53</v>
      </c>
      <c r="C9" s="7" t="s">
        <v>61</v>
      </c>
      <c r="D9" s="5" t="s">
        <v>14</v>
      </c>
      <c r="E9" s="5">
        <v>4</v>
      </c>
      <c r="F9" s="7" t="s">
        <v>145</v>
      </c>
      <c r="G9" s="5">
        <v>4</v>
      </c>
      <c r="H9" s="8">
        <f t="shared" si="0"/>
        <v>16</v>
      </c>
      <c r="I9" s="7"/>
    </row>
    <row r="10" ht="15" customHeight="1" spans="1:9">
      <c r="A10" s="9">
        <v>6</v>
      </c>
      <c r="B10" s="13" t="s">
        <v>53</v>
      </c>
      <c r="C10" s="10" t="s">
        <v>61</v>
      </c>
      <c r="D10" s="9" t="s">
        <v>40</v>
      </c>
      <c r="E10" s="9">
        <v>8</v>
      </c>
      <c r="F10" s="10" t="s">
        <v>146</v>
      </c>
      <c r="G10" s="9">
        <v>4</v>
      </c>
      <c r="H10" s="11">
        <f t="shared" si="0"/>
        <v>32</v>
      </c>
      <c r="I10" s="10"/>
    </row>
    <row r="11" ht="15" customHeight="1" spans="1:9">
      <c r="A11" s="5">
        <v>7</v>
      </c>
      <c r="B11" s="13" t="s">
        <v>53</v>
      </c>
      <c r="C11" s="7" t="s">
        <v>147</v>
      </c>
      <c r="D11" s="5" t="s">
        <v>14</v>
      </c>
      <c r="E11" s="5">
        <v>8</v>
      </c>
      <c r="F11" s="7" t="s">
        <v>148</v>
      </c>
      <c r="G11" s="5">
        <v>3</v>
      </c>
      <c r="H11" s="8">
        <f t="shared" si="0"/>
        <v>24</v>
      </c>
      <c r="I11" s="7" t="s">
        <v>149</v>
      </c>
    </row>
    <row r="12" ht="15" customHeight="1" spans="1:9">
      <c r="A12" s="9">
        <v>7</v>
      </c>
      <c r="B12" s="13" t="s">
        <v>53</v>
      </c>
      <c r="C12" s="10" t="s">
        <v>150</v>
      </c>
      <c r="D12" s="9" t="s">
        <v>14</v>
      </c>
      <c r="E12" s="9">
        <v>4</v>
      </c>
      <c r="F12" s="10" t="s">
        <v>151</v>
      </c>
      <c r="G12" s="9">
        <v>3</v>
      </c>
      <c r="H12" s="11">
        <f t="shared" si="0"/>
        <v>12</v>
      </c>
      <c r="I12" s="10"/>
    </row>
    <row r="13" ht="15" customHeight="1" spans="1:9">
      <c r="A13" s="5">
        <v>7</v>
      </c>
      <c r="B13" s="13" t="s">
        <v>53</v>
      </c>
      <c r="C13" s="7" t="s">
        <v>152</v>
      </c>
      <c r="D13" s="5" t="s">
        <v>14</v>
      </c>
      <c r="E13" s="5">
        <v>4</v>
      </c>
      <c r="F13" s="7" t="s">
        <v>153</v>
      </c>
      <c r="G13" s="5">
        <v>3</v>
      </c>
      <c r="H13" s="8">
        <f t="shared" si="0"/>
        <v>12</v>
      </c>
      <c r="I13" s="7"/>
    </row>
    <row r="14" ht="15" customHeight="1" spans="1:9">
      <c r="A14" s="9">
        <v>8</v>
      </c>
      <c r="B14" s="13" t="s">
        <v>53</v>
      </c>
      <c r="C14" s="10" t="s">
        <v>154</v>
      </c>
      <c r="D14" s="9" t="s">
        <v>11</v>
      </c>
      <c r="E14" s="9">
        <v>2</v>
      </c>
      <c r="F14" s="10" t="s">
        <v>155</v>
      </c>
      <c r="G14" s="9">
        <v>3</v>
      </c>
      <c r="H14" s="11">
        <f t="shared" si="0"/>
        <v>6</v>
      </c>
      <c r="I14" s="10" t="s">
        <v>156</v>
      </c>
    </row>
    <row r="15" ht="15" customHeight="1" spans="1:9">
      <c r="A15" s="5">
        <v>8</v>
      </c>
      <c r="B15" s="13" t="s">
        <v>53</v>
      </c>
      <c r="C15" s="7" t="s">
        <v>154</v>
      </c>
      <c r="D15" s="5" t="s">
        <v>14</v>
      </c>
      <c r="E15" s="5">
        <v>4</v>
      </c>
      <c r="F15" s="7" t="s">
        <v>157</v>
      </c>
      <c r="G15" s="5">
        <v>3</v>
      </c>
      <c r="H15" s="8">
        <f t="shared" si="0"/>
        <v>12</v>
      </c>
      <c r="I15" s="7"/>
    </row>
    <row r="16" ht="15" customHeight="1" spans="1:9">
      <c r="A16" s="9">
        <v>8</v>
      </c>
      <c r="B16" s="13" t="s">
        <v>53</v>
      </c>
      <c r="C16" s="10" t="s">
        <v>154</v>
      </c>
      <c r="D16" s="9" t="s">
        <v>40</v>
      </c>
      <c r="E16" s="9">
        <v>10</v>
      </c>
      <c r="F16" s="10" t="s">
        <v>158</v>
      </c>
      <c r="G16" s="9">
        <v>3</v>
      </c>
      <c r="H16" s="11">
        <f t="shared" si="0"/>
        <v>30</v>
      </c>
      <c r="I16" s="10"/>
    </row>
    <row r="17" ht="15" customHeight="1" spans="1:9">
      <c r="A17" s="5">
        <v>8</v>
      </c>
      <c r="B17" s="13" t="s">
        <v>53</v>
      </c>
      <c r="C17" s="7" t="s">
        <v>159</v>
      </c>
      <c r="D17" s="5" t="s">
        <v>16</v>
      </c>
      <c r="E17" s="5">
        <v>10</v>
      </c>
      <c r="F17" s="7" t="s">
        <v>160</v>
      </c>
      <c r="G17" s="5">
        <v>3</v>
      </c>
      <c r="H17" s="8">
        <f t="shared" si="0"/>
        <v>30</v>
      </c>
      <c r="I17" s="7"/>
    </row>
    <row r="18" ht="57.6" spans="1:9">
      <c r="A18" s="9">
        <v>9</v>
      </c>
      <c r="B18" s="13" t="s">
        <v>53</v>
      </c>
      <c r="C18" s="10" t="s">
        <v>119</v>
      </c>
      <c r="D18" s="9" t="s">
        <v>16</v>
      </c>
      <c r="E18" s="9">
        <v>10</v>
      </c>
      <c r="F18" s="10" t="s">
        <v>120</v>
      </c>
      <c r="G18" s="9">
        <v>3</v>
      </c>
      <c r="H18" s="11">
        <f t="shared" si="0"/>
        <v>30</v>
      </c>
      <c r="I18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$A1:$XFD1"/>
    </sheetView>
  </sheetViews>
  <sheetFormatPr defaultColWidth="8.88888888888889" defaultRowHeight="13.8"/>
  <sheetData>
    <row r="1" ht="30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" customHeight="1" spans="1:9">
      <c r="A2" s="5">
        <v>1</v>
      </c>
      <c r="B2" s="6" t="s">
        <v>9</v>
      </c>
      <c r="C2" s="7" t="s">
        <v>161</v>
      </c>
      <c r="D2" s="5" t="s">
        <v>11</v>
      </c>
      <c r="E2" s="5">
        <v>2</v>
      </c>
      <c r="F2" s="7" t="s">
        <v>162</v>
      </c>
      <c r="G2" s="5">
        <v>2</v>
      </c>
      <c r="H2" s="8">
        <f t="shared" ref="H2:H14" si="0">E2*G2</f>
        <v>4</v>
      </c>
      <c r="I2" s="7"/>
    </row>
    <row r="3" ht="15" customHeight="1" spans="1:9">
      <c r="A3" s="9">
        <v>1</v>
      </c>
      <c r="B3" s="6" t="s">
        <v>9</v>
      </c>
      <c r="C3" s="10" t="s">
        <v>161</v>
      </c>
      <c r="D3" s="9" t="s">
        <v>16</v>
      </c>
      <c r="E3" s="9">
        <v>10</v>
      </c>
      <c r="F3" s="10" t="s">
        <v>163</v>
      </c>
      <c r="G3" s="9">
        <v>2</v>
      </c>
      <c r="H3" s="11">
        <f t="shared" si="0"/>
        <v>20</v>
      </c>
      <c r="I3" s="10"/>
    </row>
    <row r="4" ht="15" customHeight="1" spans="1:9">
      <c r="A4" s="5">
        <v>2</v>
      </c>
      <c r="B4" s="6" t="s">
        <v>9</v>
      </c>
      <c r="C4" s="7" t="s">
        <v>164</v>
      </c>
      <c r="D4" s="5" t="s">
        <v>16</v>
      </c>
      <c r="E4" s="5">
        <v>10</v>
      </c>
      <c r="F4" s="7" t="s">
        <v>165</v>
      </c>
      <c r="G4" s="5">
        <v>2</v>
      </c>
      <c r="H4" s="8">
        <f t="shared" si="0"/>
        <v>20</v>
      </c>
      <c r="I4" s="7"/>
    </row>
    <row r="5" ht="15" customHeight="1" spans="1:9">
      <c r="A5" s="9">
        <v>3</v>
      </c>
      <c r="B5" s="6" t="s">
        <v>9</v>
      </c>
      <c r="C5" s="10" t="s">
        <v>166</v>
      </c>
      <c r="D5" s="9" t="s">
        <v>11</v>
      </c>
      <c r="E5" s="9">
        <v>2</v>
      </c>
      <c r="F5" s="10" t="s">
        <v>167</v>
      </c>
      <c r="G5" s="9">
        <v>3</v>
      </c>
      <c r="H5" s="11">
        <f t="shared" si="0"/>
        <v>6</v>
      </c>
      <c r="I5" s="10"/>
    </row>
    <row r="6" ht="15" customHeight="1" spans="1:9">
      <c r="A6" s="5">
        <v>3</v>
      </c>
      <c r="B6" s="6" t="s">
        <v>9</v>
      </c>
      <c r="C6" s="7" t="s">
        <v>166</v>
      </c>
      <c r="D6" s="5" t="s">
        <v>16</v>
      </c>
      <c r="E6" s="5">
        <v>10</v>
      </c>
      <c r="F6" s="7" t="s">
        <v>168</v>
      </c>
      <c r="G6" s="5">
        <v>3</v>
      </c>
      <c r="H6" s="8">
        <f t="shared" si="0"/>
        <v>30</v>
      </c>
      <c r="I6" s="7"/>
    </row>
    <row r="7" ht="15" customHeight="1" spans="1:9">
      <c r="A7" s="9">
        <v>4</v>
      </c>
      <c r="B7" s="6" t="s">
        <v>9</v>
      </c>
      <c r="C7" s="10" t="s">
        <v>169</v>
      </c>
      <c r="D7" s="12" t="s">
        <v>16</v>
      </c>
      <c r="E7" s="9">
        <v>10</v>
      </c>
      <c r="F7" s="10" t="s">
        <v>170</v>
      </c>
      <c r="G7" s="9">
        <v>4</v>
      </c>
      <c r="H7" s="11">
        <f t="shared" si="0"/>
        <v>40</v>
      </c>
      <c r="I7" s="10"/>
    </row>
    <row r="8" ht="15" customHeight="1" spans="1:9">
      <c r="A8" s="5">
        <v>5</v>
      </c>
      <c r="B8" s="6" t="s">
        <v>9</v>
      </c>
      <c r="C8" s="7" t="s">
        <v>30</v>
      </c>
      <c r="D8" s="5" t="s">
        <v>11</v>
      </c>
      <c r="E8" s="5">
        <v>2</v>
      </c>
      <c r="F8" s="7" t="s">
        <v>31</v>
      </c>
      <c r="G8" s="5">
        <v>2</v>
      </c>
      <c r="H8" s="8">
        <f t="shared" si="0"/>
        <v>4</v>
      </c>
      <c r="I8" s="7"/>
    </row>
    <row r="9" ht="15" customHeight="1" spans="1:9">
      <c r="A9" s="9">
        <v>6</v>
      </c>
      <c r="B9" s="6" t="s">
        <v>9</v>
      </c>
      <c r="C9" s="10" t="s">
        <v>32</v>
      </c>
      <c r="D9" s="9" t="s">
        <v>11</v>
      </c>
      <c r="E9" s="9">
        <v>2</v>
      </c>
      <c r="F9" s="10" t="s">
        <v>31</v>
      </c>
      <c r="G9" s="9">
        <v>4</v>
      </c>
      <c r="H9" s="11">
        <f t="shared" si="0"/>
        <v>8</v>
      </c>
      <c r="I9" s="10"/>
    </row>
    <row r="10" ht="15" customHeight="1" spans="1:9">
      <c r="A10" s="5">
        <v>6</v>
      </c>
      <c r="B10" s="6" t="s">
        <v>9</v>
      </c>
      <c r="C10" s="7" t="s">
        <v>32</v>
      </c>
      <c r="D10" s="5" t="s">
        <v>16</v>
      </c>
      <c r="E10" s="5">
        <v>10</v>
      </c>
      <c r="F10" s="7" t="s">
        <v>171</v>
      </c>
      <c r="G10" s="5">
        <v>4</v>
      </c>
      <c r="H10" s="8">
        <f t="shared" si="0"/>
        <v>40</v>
      </c>
      <c r="I10" s="7"/>
    </row>
    <row r="11" ht="15" customHeight="1" spans="1:9">
      <c r="A11" s="9">
        <v>7</v>
      </c>
      <c r="B11" s="13" t="s">
        <v>122</v>
      </c>
      <c r="C11" s="10" t="s">
        <v>172</v>
      </c>
      <c r="D11" s="9" t="s">
        <v>40</v>
      </c>
      <c r="E11" s="9">
        <v>8</v>
      </c>
      <c r="F11" s="10" t="s">
        <v>173</v>
      </c>
      <c r="G11" s="9">
        <v>2</v>
      </c>
      <c r="H11" s="11">
        <f t="shared" si="0"/>
        <v>16</v>
      </c>
      <c r="I11" s="10"/>
    </row>
    <row r="12" ht="15" customHeight="1" spans="1:9">
      <c r="A12" s="5">
        <v>8</v>
      </c>
      <c r="B12" s="13" t="s">
        <v>122</v>
      </c>
      <c r="C12" s="7" t="s">
        <v>172</v>
      </c>
      <c r="D12" s="5" t="s">
        <v>40</v>
      </c>
      <c r="E12" s="5">
        <v>8</v>
      </c>
      <c r="F12" s="7" t="s">
        <v>174</v>
      </c>
      <c r="G12" s="5">
        <v>2</v>
      </c>
      <c r="H12" s="8">
        <f t="shared" si="0"/>
        <v>16</v>
      </c>
      <c r="I12" s="7"/>
    </row>
    <row r="13" ht="15" customHeight="1" spans="1:9">
      <c r="A13" s="9">
        <v>8</v>
      </c>
      <c r="B13" s="13" t="s">
        <v>122</v>
      </c>
      <c r="C13" s="10" t="s">
        <v>172</v>
      </c>
      <c r="D13" s="9" t="s">
        <v>16</v>
      </c>
      <c r="E13" s="9">
        <v>10</v>
      </c>
      <c r="F13" s="10" t="s">
        <v>175</v>
      </c>
      <c r="G13" s="9">
        <v>2</v>
      </c>
      <c r="H13" s="11">
        <f t="shared" si="0"/>
        <v>20</v>
      </c>
      <c r="I13" s="10"/>
    </row>
    <row r="14" ht="15" customHeight="1" spans="1:9">
      <c r="A14" s="5">
        <v>9</v>
      </c>
      <c r="B14" s="13" t="s">
        <v>122</v>
      </c>
      <c r="C14" s="7" t="s">
        <v>169</v>
      </c>
      <c r="D14" s="5" t="s">
        <v>40</v>
      </c>
      <c r="E14" s="5">
        <v>8</v>
      </c>
      <c r="F14" s="7" t="s">
        <v>176</v>
      </c>
      <c r="G14" s="5">
        <v>2</v>
      </c>
      <c r="H14" s="8">
        <f t="shared" si="0"/>
        <v>16</v>
      </c>
      <c r="I1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J23" sqref="J23"/>
    </sheetView>
  </sheetViews>
  <sheetFormatPr defaultColWidth="8.88888888888889" defaultRowHeight="13.8"/>
  <sheetData>
    <row r="1" ht="30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spans="1:9">
      <c r="A2" s="4">
        <v>1</v>
      </c>
      <c r="B2" s="4" t="s">
        <v>9</v>
      </c>
      <c r="C2" s="4" t="s">
        <v>138</v>
      </c>
      <c r="D2" s="2" t="s">
        <v>177</v>
      </c>
      <c r="E2" s="4">
        <v>4</v>
      </c>
      <c r="F2" s="4" t="s">
        <v>139</v>
      </c>
      <c r="G2" s="4">
        <v>3</v>
      </c>
      <c r="H2" s="4"/>
      <c r="I2" s="4"/>
    </row>
    <row r="3" s="2" customFormat="1" spans="1:9">
      <c r="A3" s="2">
        <v>1</v>
      </c>
      <c r="B3" s="2" t="s">
        <v>9</v>
      </c>
      <c r="C3" s="2" t="s">
        <v>42</v>
      </c>
      <c r="D3" s="2" t="s">
        <v>177</v>
      </c>
      <c r="E3" s="2">
        <v>4</v>
      </c>
      <c r="F3" s="2" t="s">
        <v>178</v>
      </c>
      <c r="G3" s="2">
        <v>2</v>
      </c>
    </row>
    <row r="4" s="2" customFormat="1" spans="1:9">
      <c r="A4" s="2">
        <v>1</v>
      </c>
      <c r="B4" s="2" t="s">
        <v>9</v>
      </c>
      <c r="C4" s="2" t="s">
        <v>42</v>
      </c>
      <c r="D4" s="2" t="s">
        <v>179</v>
      </c>
      <c r="E4" s="2">
        <v>10</v>
      </c>
      <c r="F4" s="2" t="s">
        <v>44</v>
      </c>
      <c r="G4" s="2">
        <v>2</v>
      </c>
    </row>
    <row r="5" s="2" customFormat="1" spans="1:9">
      <c r="A5" s="2">
        <v>2</v>
      </c>
      <c r="B5" s="2" t="s">
        <v>9</v>
      </c>
      <c r="C5" s="2" t="s">
        <v>138</v>
      </c>
      <c r="D5" s="2" t="s">
        <v>179</v>
      </c>
      <c r="E5" s="2">
        <v>10</v>
      </c>
      <c r="F5" s="2" t="s">
        <v>139</v>
      </c>
      <c r="G5" s="2">
        <v>3</v>
      </c>
    </row>
    <row r="6" s="2" customFormat="1" spans="1:9">
      <c r="A6" s="2">
        <v>3</v>
      </c>
      <c r="B6" s="2" t="s">
        <v>9</v>
      </c>
      <c r="C6" s="2" t="s">
        <v>180</v>
      </c>
      <c r="D6" s="2" t="s">
        <v>179</v>
      </c>
      <c r="E6" s="2">
        <v>10</v>
      </c>
      <c r="F6" s="2" t="s">
        <v>181</v>
      </c>
      <c r="G6" s="2">
        <v>4</v>
      </c>
    </row>
    <row r="7" s="2" customFormat="1" spans="1:9">
      <c r="A7" s="2">
        <v>4</v>
      </c>
      <c r="B7" s="2" t="s">
        <v>9</v>
      </c>
      <c r="C7" s="2" t="s">
        <v>182</v>
      </c>
      <c r="D7" s="2" t="s">
        <v>183</v>
      </c>
      <c r="E7" s="2">
        <v>2</v>
      </c>
      <c r="F7" s="2" t="s">
        <v>184</v>
      </c>
      <c r="G7" s="2">
        <v>3</v>
      </c>
    </row>
    <row r="8" s="2" customFormat="1" spans="1:9">
      <c r="A8" s="2">
        <v>4</v>
      </c>
      <c r="B8" s="2" t="s">
        <v>9</v>
      </c>
      <c r="C8" s="2" t="s">
        <v>182</v>
      </c>
      <c r="D8" s="2" t="s">
        <v>179</v>
      </c>
      <c r="E8" s="2">
        <v>10</v>
      </c>
      <c r="F8" s="2" t="s">
        <v>185</v>
      </c>
      <c r="G8" s="2">
        <v>3</v>
      </c>
    </row>
    <row r="9" s="2" customFormat="1" spans="1:9">
      <c r="A9" s="2">
        <v>5</v>
      </c>
      <c r="B9" s="2" t="s">
        <v>9</v>
      </c>
      <c r="C9" s="2" t="s">
        <v>186</v>
      </c>
      <c r="D9" s="2" t="s">
        <v>187</v>
      </c>
      <c r="E9" s="2">
        <v>8</v>
      </c>
      <c r="F9" s="2" t="s">
        <v>188</v>
      </c>
      <c r="G9" s="2">
        <v>3</v>
      </c>
      <c r="H9" s="2"/>
      <c r="I9" s="2" t="s">
        <v>189</v>
      </c>
    </row>
    <row r="10" s="2" customFormat="1" spans="1:9">
      <c r="A10" s="2">
        <v>6</v>
      </c>
      <c r="B10" s="2" t="s">
        <v>9</v>
      </c>
      <c r="C10" s="2" t="s">
        <v>190</v>
      </c>
      <c r="D10" s="2" t="s">
        <v>187</v>
      </c>
      <c r="E10" s="2">
        <v>8</v>
      </c>
      <c r="F10" s="2" t="s">
        <v>191</v>
      </c>
      <c r="G10" s="2">
        <v>3</v>
      </c>
      <c r="H10" s="2"/>
      <c r="I10" s="2" t="s">
        <v>189</v>
      </c>
    </row>
    <row r="11" s="2" customFormat="1" spans="1:9">
      <c r="A11" s="2">
        <v>7</v>
      </c>
      <c r="B11" s="2" t="s">
        <v>9</v>
      </c>
      <c r="C11" s="2" t="s">
        <v>192</v>
      </c>
      <c r="D11" s="2" t="s">
        <v>177</v>
      </c>
      <c r="E11" s="2">
        <v>4</v>
      </c>
      <c r="F11" s="2" t="s">
        <v>193</v>
      </c>
      <c r="G11" s="2">
        <v>3</v>
      </c>
    </row>
    <row r="12" s="2" customFormat="1" spans="1:9">
      <c r="A12" s="2">
        <v>7</v>
      </c>
      <c r="B12" s="2" t="s">
        <v>9</v>
      </c>
      <c r="C12" s="2" t="s">
        <v>192</v>
      </c>
      <c r="D12" s="2" t="s">
        <v>187</v>
      </c>
      <c r="E12" s="2">
        <v>8</v>
      </c>
      <c r="F12" s="2" t="s">
        <v>194</v>
      </c>
      <c r="G12" s="2">
        <v>3</v>
      </c>
    </row>
    <row r="13" s="2" customFormat="1" spans="1:9">
      <c r="A13" s="2">
        <v>8</v>
      </c>
      <c r="B13" s="2" t="s">
        <v>9</v>
      </c>
      <c r="C13" s="2" t="s">
        <v>195</v>
      </c>
      <c r="D13" s="2" t="s">
        <v>179</v>
      </c>
      <c r="E13" s="2">
        <v>10</v>
      </c>
      <c r="F13" s="2" t="s">
        <v>196</v>
      </c>
      <c r="G13" s="2">
        <v>4</v>
      </c>
    </row>
    <row r="14" s="2" customFormat="1" spans="1:9">
      <c r="A14" s="2">
        <v>9</v>
      </c>
      <c r="B14" s="2" t="s">
        <v>9</v>
      </c>
      <c r="C14" s="2" t="s">
        <v>197</v>
      </c>
      <c r="D14" s="2" t="s">
        <v>179</v>
      </c>
      <c r="E14" s="2">
        <v>10</v>
      </c>
      <c r="F14" s="2" t="s">
        <v>198</v>
      </c>
      <c r="G14" s="2">
        <v>4</v>
      </c>
    </row>
    <row r="15" s="2" customFormat="1" spans="1:9">
      <c r="A15" s="2">
        <v>10</v>
      </c>
      <c r="B15" s="2" t="s">
        <v>9</v>
      </c>
      <c r="C15" s="2" t="s">
        <v>199</v>
      </c>
      <c r="D15" s="2" t="s">
        <v>179</v>
      </c>
      <c r="E15" s="2">
        <v>10</v>
      </c>
      <c r="F15" s="2" t="s">
        <v>199</v>
      </c>
      <c r="G15" s="2">
        <v>3</v>
      </c>
    </row>
    <row r="16" s="2" customFormat="1" spans="1:9">
      <c r="A16" s="2">
        <v>11</v>
      </c>
      <c r="B16" s="2" t="s">
        <v>9</v>
      </c>
      <c r="C16" s="2" t="s">
        <v>200</v>
      </c>
      <c r="D16" s="2" t="s">
        <v>179</v>
      </c>
      <c r="E16" s="2">
        <v>10</v>
      </c>
      <c r="F16" s="2" t="s">
        <v>201</v>
      </c>
      <c r="G16" s="2">
        <v>3</v>
      </c>
    </row>
    <row r="17" s="2" customFormat="1" spans="1:7">
      <c r="A17" s="2">
        <v>12</v>
      </c>
      <c r="B17" s="2" t="s">
        <v>53</v>
      </c>
      <c r="C17" s="2" t="s">
        <v>202</v>
      </c>
      <c r="D17" s="2" t="s">
        <v>179</v>
      </c>
      <c r="E17" s="2">
        <v>10</v>
      </c>
      <c r="F17" s="2" t="s">
        <v>203</v>
      </c>
      <c r="G17" s="2">
        <v>4</v>
      </c>
    </row>
    <row r="18" s="2" customFormat="1" spans="1:7">
      <c r="A18" s="2">
        <v>13</v>
      </c>
      <c r="B18" s="2" t="s">
        <v>53</v>
      </c>
      <c r="C18" s="2" t="s">
        <v>204</v>
      </c>
      <c r="D18" s="2" t="s">
        <v>179</v>
      </c>
      <c r="E18" s="2">
        <v>10</v>
      </c>
      <c r="F18" s="2" t="s">
        <v>205</v>
      </c>
      <c r="G18" s="2">
        <v>3</v>
      </c>
    </row>
    <row r="19" s="2" customFormat="1" spans="1:7">
      <c r="A19" s="2">
        <v>14</v>
      </c>
      <c r="B19" s="2" t="s">
        <v>53</v>
      </c>
      <c r="C19" s="2" t="s">
        <v>54</v>
      </c>
      <c r="D19" s="2" t="s">
        <v>179</v>
      </c>
      <c r="E19" s="2">
        <v>10</v>
      </c>
      <c r="F19" s="2" t="s">
        <v>206</v>
      </c>
      <c r="G19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附录A 表A.1 变压器本体状态量评价标准</vt:lpstr>
      <vt:lpstr>A.2 变压器套管状态量评价标准</vt:lpstr>
      <vt:lpstr>A.3 冷却（散热）器系统状态量评价标准</vt:lpstr>
      <vt:lpstr>A.4 有载分接开关状态量评价标准表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mingj</cp:lastModifiedBy>
  <dcterms:created xsi:type="dcterms:W3CDTF">2026-07-16T12:34:00Z</dcterms:created>
  <dcterms:modified xsi:type="dcterms:W3CDTF">2026-07-16T13:16:54Z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{"Label":"1","ContentProducer":"001191110102MACQD9K64010000","ProduceID":"7663103079520750881","ReservedCode1":"","ContentPropagator":"","PropagateID":"","ReservedCode2":""}</vt:lpwstr>
  </property>
  <property fmtid="{D5CDD505-2E9C-101B-9397-08002B2CF9AE}" pid="3" name="ICV">
    <vt:lpwstr>1A0EFA64DF104087919F8323762F79AD_12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